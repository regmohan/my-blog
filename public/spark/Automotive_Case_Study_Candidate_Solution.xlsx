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ahom\.gemini\antigravity\scratch\"/>
    </mc:Choice>
  </mc:AlternateContent>
  <xr:revisionPtr revIDLastSave="0" documentId="13_ncr:1_{8128140B-9393-4E66-ACC0-D1BA951C4E68}" xr6:coauthVersionLast="47" xr6:coauthVersionMax="47" xr10:uidLastSave="{00000000-0000-0000-0000-000000000000}"/>
  <bookViews>
    <workbookView xWindow="-108" yWindow="-108" windowWidth="23256" windowHeight="12456" activeTab="3" xr2:uid="{00000000-000D-0000-FFFF-FFFF00000000}"/>
  </bookViews>
  <sheets>
    <sheet name="Assessment_Answers" sheetId="1" r:id="rId1"/>
    <sheet name="1_Sales_&amp;_Marketing" sheetId="2" r:id="rId2"/>
    <sheet name="2_Import_&amp;_Costing" sheetId="3" r:id="rId3"/>
    <sheet name="3_Collections_&amp;_Ag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9" i="4" l="1"/>
  <c r="B19" i="4"/>
  <c r="D22" i="4"/>
  <c r="B22" i="4"/>
  <c r="C22" i="4" s="1"/>
  <c r="D21" i="4"/>
  <c r="B21" i="4"/>
  <c r="C21" i="4" s="1"/>
  <c r="D20" i="4"/>
  <c r="B20" i="4"/>
  <c r="C20" i="4" s="1"/>
  <c r="D19" i="4"/>
  <c r="E15" i="4"/>
  <c r="D15" i="4"/>
  <c r="G15" i="4" s="1"/>
  <c r="C15" i="4"/>
  <c r="F15" i="4" s="1"/>
  <c r="B15" i="4"/>
  <c r="H14" i="4"/>
  <c r="G14" i="4"/>
  <c r="F14" i="4"/>
  <c r="H13" i="4"/>
  <c r="G13" i="4"/>
  <c r="F13" i="4"/>
  <c r="H12" i="4"/>
  <c r="G12" i="4"/>
  <c r="F12" i="4"/>
  <c r="H11" i="4"/>
  <c r="G11" i="4"/>
  <c r="F11" i="4"/>
  <c r="H10" i="4"/>
  <c r="G10" i="4"/>
  <c r="F10" i="4"/>
  <c r="H9" i="4"/>
  <c r="G9" i="4"/>
  <c r="F9" i="4"/>
  <c r="H8" i="4"/>
  <c r="G8" i="4"/>
  <c r="F8" i="4"/>
  <c r="H7" i="4"/>
  <c r="G7" i="4"/>
  <c r="F7" i="4"/>
  <c r="H6" i="4"/>
  <c r="G6" i="4"/>
  <c r="F6" i="4"/>
  <c r="H5" i="4"/>
  <c r="G5" i="4"/>
  <c r="F5" i="4"/>
  <c r="C15" i="3"/>
  <c r="A15" i="3"/>
  <c r="C14" i="3"/>
  <c r="A14" i="3"/>
  <c r="C13" i="3"/>
  <c r="A13" i="3"/>
  <c r="C12" i="3"/>
  <c r="A12" i="3"/>
  <c r="F7" i="3"/>
  <c r="H7" i="3" s="1"/>
  <c r="F6" i="3"/>
  <c r="H6" i="3" s="1"/>
  <c r="F5" i="3"/>
  <c r="H5" i="3" s="1"/>
  <c r="F4" i="3"/>
  <c r="H4" i="3" s="1"/>
  <c r="L11" i="2"/>
  <c r="K11" i="2"/>
  <c r="I11" i="2"/>
  <c r="H11" i="2"/>
  <c r="G11" i="2"/>
  <c r="J11" i="2" s="1"/>
  <c r="F11" i="2"/>
  <c r="E11" i="2"/>
  <c r="M11" i="2" s="1"/>
  <c r="D11" i="2"/>
  <c r="C11" i="2"/>
  <c r="B11" i="2"/>
  <c r="Q10" i="2"/>
  <c r="P10" i="2"/>
  <c r="O10" i="2"/>
  <c r="M10" i="2"/>
  <c r="L10" i="2"/>
  <c r="K10" i="2"/>
  <c r="J10" i="2"/>
  <c r="I10" i="2"/>
  <c r="Q9" i="2"/>
  <c r="P9" i="2"/>
  <c r="O9" i="2"/>
  <c r="M9" i="2"/>
  <c r="L9" i="2"/>
  <c r="K9" i="2"/>
  <c r="J9" i="2"/>
  <c r="I9" i="2"/>
  <c r="Q8" i="2"/>
  <c r="P8" i="2"/>
  <c r="O8" i="2"/>
  <c r="M8" i="2"/>
  <c r="L8" i="2"/>
  <c r="K8" i="2"/>
  <c r="J8" i="2"/>
  <c r="I8" i="2"/>
  <c r="Q7" i="2"/>
  <c r="P7" i="2"/>
  <c r="O7" i="2"/>
  <c r="M7" i="2"/>
  <c r="L7" i="2"/>
  <c r="K7" i="2"/>
  <c r="J7" i="2"/>
  <c r="I7" i="2"/>
  <c r="Q6" i="2"/>
  <c r="P6" i="2"/>
  <c r="O6" i="2"/>
  <c r="M6" i="2"/>
  <c r="L6" i="2"/>
  <c r="K6" i="2"/>
  <c r="J6" i="2"/>
  <c r="I6" i="2"/>
  <c r="Q5" i="2"/>
  <c r="P5" i="2"/>
  <c r="O5" i="2"/>
  <c r="M5" i="2"/>
  <c r="L5" i="2"/>
  <c r="K5" i="2"/>
  <c r="J5" i="2"/>
  <c r="I5" i="2"/>
  <c r="I4" i="3" l="1"/>
  <c r="B12" i="3"/>
  <c r="J4" i="3"/>
  <c r="K4" i="3" s="1"/>
  <c r="I5" i="3"/>
  <c r="J5" i="3"/>
  <c r="B13" i="3"/>
  <c r="B14" i="3"/>
  <c r="J6" i="3"/>
  <c r="I6" i="3"/>
  <c r="J7" i="3"/>
  <c r="I7" i="3"/>
  <c r="B15" i="3"/>
  <c r="K6" i="3" l="1"/>
  <c r="K5" i="3"/>
  <c r="K7" i="3"/>
  <c r="D15" i="3"/>
  <c r="E15" i="3" s="1"/>
  <c r="D14" i="3"/>
  <c r="E14" i="3" s="1"/>
  <c r="D13" i="3"/>
  <c r="E13" i="3" s="1"/>
  <c r="F13" i="3"/>
  <c r="D12" i="3"/>
  <c r="E12" i="3" s="1"/>
  <c r="F12" i="3" l="1"/>
  <c r="F14" i="3"/>
  <c r="F15" i="3"/>
</calcChain>
</file>

<file path=xl/sharedStrings.xml><?xml version="1.0" encoding="utf-8"?>
<sst xmlns="http://schemas.openxmlformats.org/spreadsheetml/2006/main" count="140" uniqueCount="129">
  <si>
    <t>Question 1:
Sales have increased significantly over the six-month period.
Based on the data, would you consider this a healthy improvement in business performance? What concerns or questions would you raise?</t>
  </si>
  <si>
    <t>In my analysis, I would NOT consider this a healthy improvement in business performance. While top-line sales grew from NPR 3.60 Cr to 8.90 Cr (+147%), looking deeper into the data shows two serious concerns:
1. Outstanding Receivables are growing too fast: Receivables increased from NPR 6.20 Cr in April to NPR 10.80 Cr in September (+74%). At 10.8 Cr, uncollected money is actually larger than September's entire monthly sales (8.9 Cr). The company is selling vehicles on paper, but the cash is stuck in the market.
2. High discounts are eating profit margins: The average discount increased from 2.0% in April to 5.0% in September (a 2.5x increase). As calculated in the Import sheet, our gross profit margin is only between 6.4% and 8.7%. Offering a 5% discount wipes out 57% to 78% of our gross margin. This means we are buying sales volume by giving away almost all our profit.
Questions I would raise to management:
- Why did discounts increase to 5%? Is it because of market competition or are sales reps using discounts freely to close deals?
- What is our current cash balance and working capital status to support this rapid sales growth?</t>
  </si>
  <si>
    <t>Question 2:
What additional KPIs or information would you want to see before concluding that sales performance has improved?</t>
  </si>
  <si>
    <t>Before concluding that sales performance has genuinely improved, I would want to see:
1. Cash Collections vs. Credit Sales: Actual cash collected and deposited in the bank each month vs credit sales invoiced.
2. Days Sales Outstanding (DSO): To measure how many days on average it takes to collect cash from customers.
3. Net Realized Margin per Unit: Gross profit minus discount, bank LC interest, and vehicle yard holding costs.
4. Product Sales Mix: Breakdown of sales by vehicle model (EV Van, Truck, Pickup, Machinery) to see if we are selling high-margin or low-margin vehicles.
5. Customer Credit Limit Utilization: Checking whether we are continuing to deliver vehicles to customers with overdue balances.</t>
  </si>
  <si>
    <t>2. MARKETING PERFORMANCE</t>
  </si>
  <si>
    <t>Question 3:
The marketing team says that performance has improved because leads increased from 180 in April to 680 in September.
Do you agree that marketing performance has improved? Analyze the data and explain your reasoning.</t>
  </si>
  <si>
    <t>No, I do not agree with the marketing team. While they successfully increased total lead volume (180 to 680), lead quality and conversion efficiency actually declined:
1. Qualified Leads percentage decreased: In April, 38.9% of leads were qualified (70 out of 180). By September, only 25.0% were qualified (170 out of 680). That is a 13.9% drop in lead quality. In September, 510 out of 680 leads were unqualified/junk, which wastes valuable sales team follow-up time.
2. True conversion rate dropped: In April, 6.7% of total leads converted to actual sales (12/180). By September, only 3.7% converted (25/680)—almost a 50% drop in conversion efficiency.
3. Cost per Qualified Lead increased: Marketing spend grew from NPR 2.5 Lakh to 7.0 Lakh (+180%). The cost to acquire one qualified lead rose from NPR 3,571 in April to NPR 4,118 in September (+15.3%).
Conclusion: Marketing is generating quantity, but not quality. We need to adjust marketing targeting towards high-intent buyers rather than just collecting raw leads.</t>
  </si>
  <si>
    <t>Question 4:
What marketing KPIs would you calculate from this data, and which ones would you consider most important for management?</t>
  </si>
  <si>
    <t>3. IMPORT &amp; CUSTOMS</t>
  </si>
  <si>
    <t>Question 5:
Which vehicle appears to have the best margin based on the information provided? Would you make a final pricing decision using only this information? Why or why not?</t>
  </si>
  <si>
    <t>Question 6:
If management asks you to prepare a monthly landed-cost report for imported vehicles, what information would you include in it?</t>
  </si>
  <si>
    <t>4. COLLECTIONS</t>
  </si>
  <si>
    <t>Question 7:
Which customers or areas of the collection data would you prioritise for management attention? Explain your reasoning.</t>
  </si>
  <si>
    <t>Question 8:
What KPIs or analysis would you build to help management improve collections and control receivables?</t>
  </si>
  <si>
    <t>5. MANAGEMENT DECISION</t>
  </si>
  <si>
    <t>Question 9:
The company has limited available cash.
Management is considering two options:
Option A: Import additional vehicles because sales are currently increasing.
Option B: Slow down imports temporarily and focus on collecting outstanding receivables.
Based on the information available, what would you recommend? What additional information would you want before making the final decision?</t>
  </si>
  <si>
    <t>My Recommendation:
Between Option A and Option B, I personally prefer doing Option A (continuing imports to capture increasing customer demand and protect market presence). Completely shutting down imports (Option B) will hurt sales momentum, damage dealer relationships, and cause us to lose market share to competitors.
HOWEVER, because the company has limited cash, I would NOT make a final decision blindly. Before deciding whether we must slow down imports or can safely proceed with Option A, the critical information I would want to look at is the CURRENT CASH FLOW STATEMENT and a 30-TO-60 DAY CASH INFLOW / OUTFLOW PROJECTION:
- We need to check our exact bank cash balance, upcoming Letter of Credit (LC) payment due dates, and customs duty liabilities at the border.
- If the cash flow projection shows that we have enough liquidity (or can quickly recover NPR 3 to 4 Cr from the 90+ day debtors), then we should PROCEED WITH OPTION A, focusing imports on high-margin models (Machinery and Pickups).
- If the cash flow projection reveals an immediate cash shortfall where LC payments cannot be met, only then would we be forced to temporarily slow down imports on low-margin units (like EV Vans) while aggressively collecting overdue money.
In summary: I prefer Option A, but the cash flow projection must determine whether we proceed with full imports, or adjust the import volume to match our cash reality.</t>
  </si>
  <si>
    <t>6. MIS &amp; DECISION-MAKING</t>
  </si>
  <si>
    <t>Question 10:
If you joined the company as MIS Officer / Data Analyst, what would be the first three analyses or reports you would build from this data, and why?</t>
  </si>
  <si>
    <t>The first three reports I would build are:
1. Cash Flow &amp; LC Payment Projection Report: A rolling forecast of cash inflows (collections from customers) vs mandatory cash outflows (LC retirements, customs taxes, freight, and operating expenses) to ensure we never face a liquidity crisis.
2. Customer Aging &amp; Credit Control Dashboard: A weekly dashboard tracking outstanding balances, aging days, and credit remaining % for each customer, with an automated red alert to stop deliveries for overdue accounts.
3. Vehicle Unit Economics &amp; Margin Report: Tracking actual net profit per vehicle after deducting landed costs, discounts given, yard holding costs, and sales commissions.</t>
  </si>
  <si>
    <t>Observations &amp; Strategic Takeaways:
Use this space for any assumptions, observations or additional findings you consider relevant.</t>
  </si>
  <si>
    <t>1. SALES &amp; BUSINESS PERFORMANCE / MARKETING PERFORMANCE</t>
  </si>
  <si>
    <t>Month</t>
  </si>
  <si>
    <t>Units Sold</t>
  </si>
  <si>
    <t>Sales Value (NPR Cr.)</t>
  </si>
  <si>
    <t>Avg. Discount</t>
  </si>
  <si>
    <t>Marketing Spend (NPR Lakh)</t>
  </si>
  <si>
    <t>Leads</t>
  </si>
  <si>
    <t>Qualified Leads</t>
  </si>
  <si>
    <t>Receivables (NPR Cr.)</t>
  </si>
  <si>
    <t>Avg Sales / Unit (Lakh)</t>
  </si>
  <si>
    <t>Qualified Lead %</t>
  </si>
  <si>
    <t>True Conversion %</t>
  </si>
  <si>
    <t>Conversion on QL %</t>
  </si>
  <si>
    <t>Cost Per Qual. Lead (NPR)</t>
  </si>
  <si>
    <t>Sales Value (Cr)</t>
  </si>
  <si>
    <t>Receivables (Cr)</t>
  </si>
  <si>
    <t>April</t>
  </si>
  <si>
    <t>May</t>
  </si>
  <si>
    <t>June</t>
  </si>
  <si>
    <t>July</t>
  </si>
  <si>
    <t>August</t>
  </si>
  <si>
    <t>September</t>
  </si>
  <si>
    <t>Total / Avg</t>
  </si>
  <si>
    <t>CANDIDATE ANALYSIS &amp; OBSERVATIONS SUMMARY</t>
  </si>
  <si>
    <t>Sales vs Outstanding</t>
  </si>
  <si>
    <t>Sales grew by +147% (3.6 Cr to 8.9 Cr), but Receivables surged +74% to 10.8 Cr. Cash is trapped.</t>
  </si>
  <si>
    <t>Not a healthy result</t>
  </si>
  <si>
    <t>Discount vs Conversion</t>
  </si>
  <si>
    <t>Discount increased from 2.0% to 5.0% (2.5x), but true conversion dropped from 6.7% to 3.7%.</t>
  </si>
  <si>
    <t>Discounts eroding margins</t>
  </si>
  <si>
    <t>Marketing Funnel</t>
  </si>
  <si>
    <t>Leads surged from 180 to 680, but Qualified Lead % fell from 38.9% to 25.0%.</t>
  </si>
  <si>
    <t>Quality decreased; need plan</t>
  </si>
  <si>
    <t>Cost per Qualified Lead</t>
  </si>
  <si>
    <t>CPQL rose from NPR 3,571 to NPR 4,118 (+15.3%). Marketing became less cost-efficient.</t>
  </si>
  <si>
    <t>Expenses increased</t>
  </si>
  <si>
    <t>3. IMPORT &amp; CUSTOMS - LANDED COST &amp; MARGIN CALCULATION</t>
  </si>
  <si>
    <t>Vehicle</t>
  </si>
  <si>
    <t>Invoice Cost (Lakh)</t>
  </si>
  <si>
    <t>Freight (Lakh)</t>
  </si>
  <si>
    <t>Customs &amp; Taxes (Lakh)</t>
  </si>
  <si>
    <t>Clearing &amp; Other (Lakh)</t>
  </si>
  <si>
    <t>Landed Cost (Lakh)</t>
  </si>
  <si>
    <t>Proposed Selling Price (Lakh)</t>
  </si>
  <si>
    <t>Absolute Margin (Lakh)</t>
  </si>
  <si>
    <t>Markup on Cost %</t>
  </si>
  <si>
    <t>Gross Margin on SP %</t>
  </si>
  <si>
    <t>Rank</t>
  </si>
  <si>
    <t>EV Van</t>
  </si>
  <si>
    <t>Truck</t>
  </si>
  <si>
    <t>Pickup</t>
  </si>
  <si>
    <t>Machinery</t>
  </si>
  <si>
    <t>DISCOUNT SENSITIVITY: PROFIT REMAINING AFTER 5% AVERAGE DISCOUNT</t>
  </si>
  <si>
    <t>Base Margin (Lakh)</t>
  </si>
  <si>
    <t>5% Discount Amount (Lakh)</t>
  </si>
  <si>
    <t>Net Profit Left (Lakh)</t>
  </si>
  <si>
    <t>Net Margin % Left</t>
  </si>
  <si>
    <t>Profit Lost %</t>
  </si>
  <si>
    <t>Evaluation</t>
  </si>
  <si>
    <t>CRITICAL: 78% profit lost! Risk of loss after bank interest</t>
  </si>
  <si>
    <t>70% profit lost; margin very thin</t>
  </si>
  <si>
    <t>Retains healthy positive cash margin</t>
  </si>
  <si>
    <t>4. COLLECTIONS &amp; RECEIVABLES AGING ANALYSIS</t>
  </si>
  <si>
    <t>Customer</t>
  </si>
  <si>
    <t>Amount Collected (Cr)</t>
  </si>
  <si>
    <t>Outstanding (Cr)</t>
  </si>
  <si>
    <t>Ageing (Days)</t>
  </si>
  <si>
    <t>% Collected</t>
  </si>
  <si>
    <t>Credit Remaining %</t>
  </si>
  <si>
    <t>Aging Bucket</t>
  </si>
  <si>
    <t>Priority Level</t>
  </si>
  <si>
    <t>ABC Construction</t>
  </si>
  <si>
    <t>CRITICAL (Stop Supply)</t>
  </si>
  <si>
    <t>Himalayan Logistics</t>
  </si>
  <si>
    <t>MEDIUM (Follow up)</t>
  </si>
  <si>
    <t>Shree Infrastructure</t>
  </si>
  <si>
    <t>LOW (Regular)</t>
  </si>
  <si>
    <t>Everest Transport</t>
  </si>
  <si>
    <t>HIGH (Immediate Call)</t>
  </si>
  <si>
    <t>National Contractors</t>
  </si>
  <si>
    <t>Terai Cargo</t>
  </si>
  <si>
    <t>Lumbini Projects</t>
  </si>
  <si>
    <t>Eastern Haulage</t>
  </si>
  <si>
    <t>Mid-West Logistics</t>
  </si>
  <si>
    <t>Valley Developers</t>
  </si>
  <si>
    <t>Total Portfolio</t>
  </si>
  <si>
    <t>OVERALL</t>
  </si>
  <si>
    <t>ACTION NEEDED</t>
  </si>
  <si>
    <t>AGING SCHEDULE SUMMARY</t>
  </si>
  <si>
    <t>Age Bucket</t>
  </si>
  <si>
    <t>% of Total AR</t>
  </si>
  <si>
    <t>Customer Count</t>
  </si>
  <si>
    <t>Risk Level</t>
  </si>
  <si>
    <t>&lt;= 30 Days</t>
  </si>
  <si>
    <t>Normal</t>
  </si>
  <si>
    <t>31 - 60 Days</t>
  </si>
  <si>
    <t>Moderate</t>
  </si>
  <si>
    <t>61 - 90 Days</t>
  </si>
  <si>
    <t>High</t>
  </si>
  <si>
    <t>&gt; 90 Days</t>
  </si>
  <si>
    <t>CRITICAL (53.8% of AR)</t>
  </si>
  <si>
    <t>1. Marketing Funnel Strategy: Marketing has done its job generating top-of-funnel awareness (leads increased from 180 to 680), but because qualified leads dropped to 25%, the targeting needs to be refined. 
2. Highlighting Credit Partners: Customers with aging &gt;90 days and credit remaining &gt;30% (ABC Construction, Terai Cargo, Everest Transport, Mid-West Logistics) must be highlighted immediately and handled directly by management.
3. Option A vs Cash Flow: I prefer Option A to maintain business growth, but management must review the cash flow projection to verify our cash in/out runway.</t>
  </si>
  <si>
    <t>I would calculate the following marketing KPIs:
1. Lead Qualification Rate % = (Qualified Leads / Total Leads) -&gt; Dropped from 38.9% to 25.0%.
2. Lead-to-Sale Conversion Rate % = (Units Sold / Total Leads) -&gt; Dropped from 6.7% to 3.7%.
3. Qualified Lead Conversion Rate % = (Units Sold / Qualified Leads) -&gt; Dropped from 17.1% to 14.7%.
4. Marketing Cost per Unit Sold = (Marketing Spend / Units Sold) -&gt; Increased from NPR 20,833 to NPR 28,000 per unit.
Most Important for Management: Cost Per Qualified Lead (CPQL) and Lead Qualification Rate %. Management should focus on qualified leads because unqualified leads only add overhead without generating revenue.</t>
  </si>
  <si>
    <t>Machinery has the best margin both in absolute profit (NPR 3.75 Lakh) and in percentage (8.72% on SP). Pickup is second best at 8.65%.
Would I make final pricing decisions using only this? NO, because:
1. Excludes operational &amp; financing costs: This table does not include vehicle preparation (PDI), warranty expenses, yard parking/demurrage, or bank LC interest.
2. High risk with discounts: At a 5% discount on an EV Van (1.95 Lakh discount on 39 Lakh SP), the profit drops to only NPR 55,000 (1.4% margin). After adding yard expenses and financing interest, EV Vans would be sold at an outright loss.
3. Inventory turnover: A fast-moving vehicle like a Pickup that sells in 20 days brings cash back faster than Machinery that might sit in the yard for 90 days.</t>
  </si>
  <si>
    <t xml:space="preserve">I would include:
1. Vehicle &amp; Shipment Details: Model name, Chassis/VIN number, LC number etc.
2. Direct Cost Breakdown: Factory invoice price, exchange rate applied (USD/INR to NPR), freight, customs duties, excise tax, VAT, clearing agent fees, and border handling charges.
3. Financing &amp; Yard Costs: Bank LC fees and interest, transit insurance, and yard holding days.
4. Landed Cost vs Selling Price: Total landed cost, proposed selling price, standard margin %, and the minimum floor price.
</t>
  </si>
  <si>
    <t>Based on aging and credit remaining %, I would prioritize the following customers:
1. ABC Construction (TOP PRIORITY): Outstanding balance is NPR 0.60 Cr (24.3% of total company outstanding) and payment is 115 days overdue. 48.0% of their total sales value is still unpaid.
2. Terai Cargo (HIGH DEFAULT RISK): Outstanding is NPR 0.24 Cr with 128 days aging (the oldest overdue balance in the company). 34.8% of their billing is unpaid. 
other details in chart .</t>
  </si>
  <si>
    <t>To improve collections and control receivables, I would build:
1.Tracking outstanding balances across buckets (0-30, 31-60, 61-90, and &gt;90 days) updated weekly.
2. Credit Remaining % per Customer: Highlighting partner accounts with more than X% of sales unpaid.
3. Commission Linked to Cash Collection: Adjust sales incentives so sales reps get 50% commission at billing and 50% only after cash is fully collected in the bank.</t>
  </si>
  <si>
    <t>ADDITIONAL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</si>
</sst>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1" x14ac:knownFonts="1">
    <font>
      <sz val="11"/>
      <color theme="1"/>
      <name val="Calibri"/>
      <family val="2"/>
      <scheme val="minor"/>
    </font>
    <font>
      <b/>
      <sz val="13"/>
      <color rgb="FF1F497D"/>
      <name val="Calibri"/>
    </font>
    <font>
      <i/>
      <sz val="9"/>
      <color rgb="FF595959"/>
      <name val="Calibri"/>
    </font>
    <font>
      <b/>
      <sz val="11"/>
      <color rgb="FF1F497D"/>
      <name val="Calibri"/>
    </font>
    <font>
      <sz val="10"/>
      <color rgb="FF000000"/>
      <name val="Calibri"/>
    </font>
    <font>
      <b/>
      <sz val="10"/>
      <color rgb="FFFFFFFF"/>
      <name val="Calibri"/>
    </font>
    <font>
      <b/>
      <sz val="10"/>
      <color rgb="FF000000"/>
      <name val="Calibri"/>
    </font>
    <font>
      <b/>
      <sz val="10"/>
      <color rgb="FF9C0006"/>
      <name val="Calibri"/>
    </font>
    <font>
      <b/>
      <sz val="10"/>
      <color rgb="FF006100"/>
      <name val="Calibri"/>
    </font>
    <font>
      <b/>
      <sz val="11"/>
      <color rgb="FF1F497D"/>
      <name val="Calibri"/>
      <family val="2"/>
    </font>
    <font>
      <sz val="11"/>
      <color rgb="FF000000"/>
      <name val="Calibri"/>
      <family val="2"/>
    </font>
  </fonts>
  <fills count="9">
    <fill>
      <patternFill patternType="none"/>
    </fill>
    <fill>
      <patternFill patternType="gray125"/>
    </fill>
    <fill>
      <patternFill patternType="solid">
        <fgColor rgb="FFDCE6F1"/>
        <bgColor rgb="FFDCE6F1"/>
      </patternFill>
    </fill>
    <fill>
      <patternFill patternType="solid">
        <fgColor rgb="FF366092"/>
        <bgColor rgb="FF366092"/>
      </patternFill>
    </fill>
    <fill>
      <patternFill patternType="solid">
        <fgColor rgb="FFD9D9D9"/>
        <bgColor rgb="FFD9D9D9"/>
      </patternFill>
    </fill>
    <fill>
      <patternFill patternType="solid">
        <fgColor rgb="FFF2DCDB"/>
        <bgColor rgb="FFF2DCDB"/>
      </patternFill>
    </fill>
    <fill>
      <patternFill patternType="solid">
        <fgColor rgb="FFE6EEF8"/>
        <bgColor rgb="FFE6EEF8"/>
      </patternFill>
    </fill>
    <fill>
      <patternFill patternType="solid">
        <fgColor rgb="FFFFF2CE"/>
        <bgColor rgb="FFFFF2CE"/>
      </patternFill>
    </fill>
    <fill>
      <patternFill patternType="solid">
        <fgColor rgb="FFEBF1DE"/>
        <bgColor rgb="FFEBF1DE"/>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000000"/>
      </top>
      <bottom style="double">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5" fillId="3" borderId="1" xfId="0" applyFont="1" applyFill="1" applyBorder="1" applyAlignment="1">
      <alignment horizontal="center" vertical="center" wrapText="1"/>
    </xf>
    <xf numFmtId="0" fontId="4" fillId="0" borderId="1" xfId="0" applyFont="1" applyBorder="1" applyAlignment="1">
      <alignment horizontal="center" vertical="center"/>
    </xf>
    <xf numFmtId="3" fontId="4" fillId="0" borderId="1" xfId="0" applyNumberFormat="1" applyFont="1" applyBorder="1" applyAlignment="1">
      <alignment horizontal="right" vertical="center"/>
    </xf>
    <xf numFmtId="4" fontId="4" fillId="0" borderId="1" xfId="0" applyNumberFormat="1" applyFont="1" applyBorder="1" applyAlignment="1">
      <alignment horizontal="right" vertical="center"/>
    </xf>
    <xf numFmtId="164" fontId="4" fillId="0" borderId="1" xfId="0" applyNumberFormat="1" applyFont="1" applyBorder="1" applyAlignment="1">
      <alignment horizontal="right" vertical="center"/>
    </xf>
    <xf numFmtId="165" fontId="4" fillId="0" borderId="1" xfId="0" applyNumberFormat="1" applyFont="1" applyBorder="1" applyAlignment="1">
      <alignment horizontal="right" vertical="center"/>
    </xf>
    <xf numFmtId="0" fontId="6" fillId="4" borderId="2" xfId="0" applyFont="1" applyFill="1" applyBorder="1" applyAlignment="1">
      <alignment horizontal="center" vertical="center"/>
    </xf>
    <xf numFmtId="3" fontId="6" fillId="4" borderId="2" xfId="0" applyNumberFormat="1" applyFont="1" applyFill="1" applyBorder="1" applyAlignment="1">
      <alignment horizontal="right" vertical="center"/>
    </xf>
    <xf numFmtId="4" fontId="6" fillId="4" borderId="2" xfId="0" applyNumberFormat="1" applyFont="1" applyFill="1" applyBorder="1" applyAlignment="1">
      <alignment horizontal="right" vertical="center"/>
    </xf>
    <xf numFmtId="164" fontId="6" fillId="4" borderId="2" xfId="0" applyNumberFormat="1" applyFont="1" applyFill="1" applyBorder="1" applyAlignment="1">
      <alignment horizontal="right" vertical="center"/>
    </xf>
    <xf numFmtId="165" fontId="6" fillId="4" borderId="2" xfId="0" applyNumberFormat="1" applyFont="1" applyFill="1" applyBorder="1" applyAlignment="1">
      <alignment horizontal="right" vertical="center"/>
    </xf>
    <xf numFmtId="0" fontId="6" fillId="0" borderId="1" xfId="0" applyFont="1" applyBorder="1"/>
    <xf numFmtId="0" fontId="7" fillId="5" borderId="1" xfId="0" applyFont="1" applyFill="1" applyBorder="1" applyAlignment="1">
      <alignment horizontal="center" vertical="center"/>
    </xf>
    <xf numFmtId="10" fontId="4" fillId="0" borderId="1" xfId="0" applyNumberFormat="1" applyFont="1" applyBorder="1" applyAlignment="1">
      <alignment horizontal="right" vertical="center"/>
    </xf>
    <xf numFmtId="0" fontId="6" fillId="6" borderId="1" xfId="0" applyFont="1" applyFill="1" applyBorder="1" applyAlignment="1">
      <alignment horizontal="center" vertical="center" wrapText="1"/>
    </xf>
    <xf numFmtId="0" fontId="0" fillId="0" borderId="1" xfId="0" applyBorder="1" applyAlignment="1">
      <alignment horizontal="center" vertical="center"/>
    </xf>
    <xf numFmtId="0" fontId="7" fillId="5" borderId="1" xfId="0" applyFont="1" applyFill="1" applyBorder="1"/>
    <xf numFmtId="0" fontId="7" fillId="7" borderId="1" xfId="0" applyFont="1" applyFill="1" applyBorder="1"/>
    <xf numFmtId="0" fontId="8" fillId="8" borderId="1" xfId="0" applyFont="1" applyFill="1" applyBorder="1"/>
    <xf numFmtId="0" fontId="0" fillId="0" borderId="1" xfId="0" applyBorder="1" applyAlignment="1">
      <alignment horizontal="left" vertical="center"/>
    </xf>
    <xf numFmtId="0" fontId="7"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6" fillId="4" borderId="2" xfId="0" applyFont="1" applyFill="1" applyBorder="1"/>
    <xf numFmtId="166" fontId="6" fillId="4" borderId="2" xfId="0" applyNumberFormat="1" applyFont="1" applyFill="1" applyBorder="1" applyAlignment="1">
      <alignment horizontal="right" vertical="center"/>
    </xf>
    <xf numFmtId="0" fontId="6" fillId="6" borderId="1" xfId="0" applyFont="1" applyFill="1" applyBorder="1" applyAlignment="1">
      <alignment horizontal="center" vertical="center"/>
    </xf>
    <xf numFmtId="4" fontId="0" fillId="0" borderId="1" xfId="0" applyNumberFormat="1" applyBorder="1" applyAlignment="1">
      <alignment horizontal="right" vertical="center"/>
    </xf>
    <xf numFmtId="164" fontId="0" fillId="0" borderId="1" xfId="0" applyNumberFormat="1" applyBorder="1" applyAlignment="1">
      <alignment horizontal="right" vertical="center"/>
    </xf>
    <xf numFmtId="3" fontId="0" fillId="0" borderId="1" xfId="0" applyNumberFormat="1" applyBorder="1" applyAlignment="1">
      <alignment horizontal="right" vertical="center"/>
    </xf>
    <xf numFmtId="0" fontId="0" fillId="0" borderId="1" xfId="0" applyBorder="1"/>
    <xf numFmtId="0" fontId="3" fillId="2" borderId="0" xfId="0" applyFont="1" applyFill="1"/>
    <xf numFmtId="0" fontId="0" fillId="0" borderId="0" xfId="0"/>
    <xf numFmtId="0" fontId="4" fillId="0" borderId="1" xfId="0" applyFont="1" applyBorder="1"/>
    <xf numFmtId="0" fontId="9" fillId="0" borderId="1" xfId="0" applyFont="1" applyBorder="1" applyAlignment="1">
      <alignment horizontal="left" vertical="top" wrapText="1"/>
    </xf>
    <xf numFmtId="0" fontId="0" fillId="0" borderId="1" xfId="0" applyFont="1" applyBorder="1"/>
    <xf numFmtId="0" fontId="0" fillId="0" borderId="0" xfId="0" applyFont="1"/>
    <xf numFmtId="0" fontId="10" fillId="0" borderId="1" xfId="0" applyFont="1" applyBorder="1" applyAlignment="1">
      <alignment horizontal="left" vertical="top" wrapText="1"/>
    </xf>
    <xf numFmtId="0" fontId="9" fillId="2" borderId="0" xfId="0" applyFont="1" applyFill="1"/>
    <xf numFmtId="0" fontId="0" fillId="0" borderId="0" xfId="0" applyFont="1"/>
    <xf numFmtId="0" fontId="9" fillId="0" borderId="3" xfId="0" applyFont="1" applyBorder="1" applyAlignment="1">
      <alignment horizontal="left" vertical="top" wrapText="1"/>
    </xf>
    <xf numFmtId="0" fontId="0" fillId="0" borderId="3" xfId="0" applyFont="1" applyBorder="1"/>
    <xf numFmtId="0" fontId="10" fillId="0" borderId="3"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Monthly Sales Value vs Outstanding Receivables (NPR Cr.)</a:t>
            </a:r>
          </a:p>
        </c:rich>
      </c:tx>
      <c:overlay val="1"/>
    </c:title>
    <c:autoTitleDeleted val="0"/>
    <c:plotArea>
      <c:layout/>
      <c:barChart>
        <c:barDir val="col"/>
        <c:grouping val="clustered"/>
        <c:varyColors val="1"/>
        <c:ser>
          <c:idx val="0"/>
          <c:order val="0"/>
          <c:tx>
            <c:strRef>
              <c:f>'1_Sales_&amp;_Marketing'!$P$4</c:f>
              <c:strCache>
                <c:ptCount val="1"/>
                <c:pt idx="0">
                  <c:v>Sales Value (Cr)</c:v>
                </c:pt>
              </c:strCache>
            </c:strRef>
          </c:tx>
          <c:spPr>
            <a:ln>
              <a:prstDash val="solid"/>
            </a:ln>
          </c:spPr>
          <c:invertIfNegative val="1"/>
          <c:cat>
            <c:strRef>
              <c:f>'1_Sales_&amp;_Marketing'!$O$5:$O$10</c:f>
              <c:strCache>
                <c:ptCount val="6"/>
                <c:pt idx="0">
                  <c:v>April</c:v>
                </c:pt>
                <c:pt idx="1">
                  <c:v>May</c:v>
                </c:pt>
                <c:pt idx="2">
                  <c:v>June</c:v>
                </c:pt>
                <c:pt idx="3">
                  <c:v>July</c:v>
                </c:pt>
                <c:pt idx="4">
                  <c:v>August</c:v>
                </c:pt>
                <c:pt idx="5">
                  <c:v>September</c:v>
                </c:pt>
              </c:strCache>
            </c:strRef>
          </c:cat>
          <c:val>
            <c:numRef>
              <c:f>'1_Sales_&amp;_Marketing'!$P$5:$P$10</c:f>
              <c:numCache>
                <c:formatCode>General</c:formatCode>
                <c:ptCount val="6"/>
                <c:pt idx="0">
                  <c:v>3.6</c:v>
                </c:pt>
                <c:pt idx="1">
                  <c:v>4.8</c:v>
                </c:pt>
                <c:pt idx="2">
                  <c:v>5.7</c:v>
                </c:pt>
                <c:pt idx="3">
                  <c:v>5.2</c:v>
                </c:pt>
                <c:pt idx="4">
                  <c:v>7.5</c:v>
                </c:pt>
                <c:pt idx="5">
                  <c:v>8.9</c:v>
                </c:pt>
              </c:numCache>
            </c:numRef>
          </c:val>
          <c:extLst>
            <c:ext xmlns:c16="http://schemas.microsoft.com/office/drawing/2014/chart" uri="{C3380CC4-5D6E-409C-BE32-E72D297353CC}">
              <c16:uniqueId val="{00000000-AD9E-452F-8E43-822D633A669F}"/>
            </c:ext>
          </c:extLst>
        </c:ser>
        <c:ser>
          <c:idx val="1"/>
          <c:order val="1"/>
          <c:tx>
            <c:strRef>
              <c:f>'1_Sales_&amp;_Marketing'!$Q$4</c:f>
              <c:strCache>
                <c:ptCount val="1"/>
                <c:pt idx="0">
                  <c:v>Receivables (Cr)</c:v>
                </c:pt>
              </c:strCache>
            </c:strRef>
          </c:tx>
          <c:spPr>
            <a:ln>
              <a:prstDash val="solid"/>
            </a:ln>
          </c:spPr>
          <c:invertIfNegative val="1"/>
          <c:cat>
            <c:strRef>
              <c:f>'1_Sales_&amp;_Marketing'!$O$5:$O$10</c:f>
              <c:strCache>
                <c:ptCount val="6"/>
                <c:pt idx="0">
                  <c:v>April</c:v>
                </c:pt>
                <c:pt idx="1">
                  <c:v>May</c:v>
                </c:pt>
                <c:pt idx="2">
                  <c:v>June</c:v>
                </c:pt>
                <c:pt idx="3">
                  <c:v>July</c:v>
                </c:pt>
                <c:pt idx="4">
                  <c:v>August</c:v>
                </c:pt>
                <c:pt idx="5">
                  <c:v>September</c:v>
                </c:pt>
              </c:strCache>
            </c:strRef>
          </c:cat>
          <c:val>
            <c:numRef>
              <c:f>'1_Sales_&amp;_Marketing'!$Q$5:$Q$10</c:f>
              <c:numCache>
                <c:formatCode>General</c:formatCode>
                <c:ptCount val="6"/>
                <c:pt idx="0">
                  <c:v>6.2</c:v>
                </c:pt>
                <c:pt idx="1">
                  <c:v>7</c:v>
                </c:pt>
                <c:pt idx="2">
                  <c:v>7.8</c:v>
                </c:pt>
                <c:pt idx="3">
                  <c:v>8.6</c:v>
                </c:pt>
                <c:pt idx="4">
                  <c:v>9.6999999999999993</c:v>
                </c:pt>
                <c:pt idx="5">
                  <c:v>10.8</c:v>
                </c:pt>
              </c:numCache>
            </c:numRef>
          </c:val>
          <c:extLst>
            <c:ext xmlns:c16="http://schemas.microsoft.com/office/drawing/2014/chart" uri="{C3380CC4-5D6E-409C-BE32-E72D297353CC}">
              <c16:uniqueId val="{00000001-AD9E-452F-8E43-822D633A669F}"/>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Month</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NPR Crores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0</xdr:colOff>
      <xdr:row>12</xdr:row>
      <xdr:rowOff>0</xdr:rowOff>
    </xdr:from>
    <xdr:ext cx="5400000" cy="32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topLeftCell="A35" workbookViewId="0">
      <selection activeCell="A38" sqref="A38:F38"/>
    </sheetView>
  </sheetViews>
  <sheetFormatPr defaultRowHeight="14.4" x14ac:dyDescent="0.3"/>
  <cols>
    <col min="1" max="1" width="59.5546875" style="37" bestFit="1" customWidth="1"/>
    <col min="2" max="3" width="18" style="37" customWidth="1"/>
    <col min="4" max="5" width="20" style="37" customWidth="1"/>
    <col min="6" max="6" width="22" style="37" customWidth="1"/>
    <col min="7" max="16384" width="8.88671875" style="37"/>
  </cols>
  <sheetData>
    <row r="1" spans="1:6" ht="48" customHeight="1" x14ac:dyDescent="0.3">
      <c r="A1" s="41" t="s">
        <v>0</v>
      </c>
      <c r="B1" s="42"/>
      <c r="C1" s="42"/>
      <c r="D1" s="42"/>
      <c r="E1" s="42"/>
      <c r="F1" s="42"/>
    </row>
    <row r="2" spans="1:6" ht="193.8" customHeight="1" x14ac:dyDescent="0.3">
      <c r="A2" s="43" t="s">
        <v>1</v>
      </c>
      <c r="B2" s="42"/>
      <c r="C2" s="42"/>
      <c r="D2" s="42"/>
      <c r="E2" s="42"/>
      <c r="F2" s="42"/>
    </row>
    <row r="4" spans="1:6" ht="31.95" customHeight="1" x14ac:dyDescent="0.3">
      <c r="A4" s="35" t="s">
        <v>2</v>
      </c>
      <c r="B4" s="36"/>
      <c r="C4" s="36"/>
      <c r="D4" s="36"/>
      <c r="E4" s="36"/>
      <c r="F4" s="36"/>
    </row>
    <row r="5" spans="1:6" ht="105" customHeight="1" x14ac:dyDescent="0.3">
      <c r="A5" s="38" t="s">
        <v>3</v>
      </c>
      <c r="B5" s="36"/>
      <c r="C5" s="36"/>
      <c r="D5" s="36"/>
      <c r="E5" s="36"/>
      <c r="F5" s="36"/>
    </row>
    <row r="7" spans="1:6" ht="22.05" customHeight="1" x14ac:dyDescent="0.3">
      <c r="A7" s="39" t="s">
        <v>4</v>
      </c>
      <c r="B7" s="40"/>
      <c r="C7" s="40"/>
      <c r="D7" s="40"/>
      <c r="E7" s="40"/>
      <c r="F7" s="40"/>
    </row>
    <row r="8" spans="1:6" ht="48" customHeight="1" x14ac:dyDescent="0.3">
      <c r="A8" s="35" t="s">
        <v>5</v>
      </c>
      <c r="B8" s="36"/>
      <c r="C8" s="36"/>
      <c r="D8" s="36"/>
      <c r="E8" s="36"/>
      <c r="F8" s="36"/>
    </row>
    <row r="9" spans="1:6" ht="135" customHeight="1" x14ac:dyDescent="0.3">
      <c r="A9" s="38" t="s">
        <v>6</v>
      </c>
      <c r="B9" s="36"/>
      <c r="C9" s="36"/>
      <c r="D9" s="36"/>
      <c r="E9" s="36"/>
      <c r="F9" s="36"/>
    </row>
    <row r="11" spans="1:6" ht="31.95" customHeight="1" x14ac:dyDescent="0.3">
      <c r="A11" s="35" t="s">
        <v>7</v>
      </c>
      <c r="B11" s="36"/>
      <c r="C11" s="36"/>
      <c r="D11" s="36"/>
      <c r="E11" s="36"/>
      <c r="F11" s="36"/>
    </row>
    <row r="12" spans="1:6" ht="120" customHeight="1" x14ac:dyDescent="0.3">
      <c r="A12" s="38" t="s">
        <v>123</v>
      </c>
      <c r="B12" s="36"/>
      <c r="C12" s="36"/>
      <c r="D12" s="36"/>
      <c r="E12" s="36"/>
      <c r="F12" s="36"/>
    </row>
    <row r="14" spans="1:6" ht="22.05" customHeight="1" x14ac:dyDescent="0.3">
      <c r="A14" s="39" t="s">
        <v>8</v>
      </c>
      <c r="B14" s="40"/>
      <c r="C14" s="40"/>
      <c r="D14" s="40"/>
      <c r="E14" s="40"/>
      <c r="F14" s="40"/>
    </row>
    <row r="15" spans="1:6" ht="31.95" customHeight="1" x14ac:dyDescent="0.3">
      <c r="A15" s="35" t="s">
        <v>9</v>
      </c>
      <c r="B15" s="36"/>
      <c r="C15" s="36"/>
      <c r="D15" s="36"/>
      <c r="E15" s="36"/>
      <c r="F15" s="36"/>
    </row>
    <row r="16" spans="1:6" ht="122.4" customHeight="1" x14ac:dyDescent="0.3">
      <c r="A16" s="38" t="s">
        <v>124</v>
      </c>
      <c r="B16" s="36"/>
      <c r="C16" s="36"/>
      <c r="D16" s="36"/>
      <c r="E16" s="36"/>
      <c r="F16" s="36"/>
    </row>
    <row r="18" spans="1:6" ht="31.95" customHeight="1" x14ac:dyDescent="0.3">
      <c r="A18" s="35" t="s">
        <v>10</v>
      </c>
      <c r="B18" s="36"/>
      <c r="C18" s="36"/>
      <c r="D18" s="36"/>
      <c r="E18" s="36"/>
      <c r="F18" s="36"/>
    </row>
    <row r="19" spans="1:6" ht="90" customHeight="1" x14ac:dyDescent="0.3">
      <c r="A19" s="38" t="s">
        <v>125</v>
      </c>
      <c r="B19" s="36"/>
      <c r="C19" s="36"/>
      <c r="D19" s="36"/>
      <c r="E19" s="36"/>
      <c r="F19" s="36"/>
    </row>
    <row r="21" spans="1:6" ht="22.05" customHeight="1" x14ac:dyDescent="0.3">
      <c r="A21" s="39" t="s">
        <v>11</v>
      </c>
      <c r="B21" s="40"/>
      <c r="C21" s="40"/>
      <c r="D21" s="40"/>
      <c r="E21" s="40"/>
      <c r="F21" s="40"/>
    </row>
    <row r="22" spans="1:6" ht="31.95" customHeight="1" x14ac:dyDescent="0.3">
      <c r="A22" s="35" t="s">
        <v>12</v>
      </c>
      <c r="B22" s="36"/>
      <c r="C22" s="36"/>
      <c r="D22" s="36"/>
      <c r="E22" s="36"/>
      <c r="F22" s="36"/>
    </row>
    <row r="23" spans="1:6" ht="112.2" customHeight="1" x14ac:dyDescent="0.3">
      <c r="A23" s="38" t="s">
        <v>126</v>
      </c>
      <c r="B23" s="36"/>
      <c r="C23" s="36"/>
      <c r="D23" s="36"/>
      <c r="E23" s="36"/>
      <c r="F23" s="36"/>
    </row>
    <row r="25" spans="1:6" ht="31.95" customHeight="1" x14ac:dyDescent="0.3">
      <c r="A25" s="35" t="s">
        <v>13</v>
      </c>
      <c r="B25" s="36"/>
      <c r="C25" s="36"/>
      <c r="D25" s="36"/>
      <c r="E25" s="36"/>
      <c r="F25" s="36"/>
    </row>
    <row r="26" spans="1:6" ht="70.2" customHeight="1" x14ac:dyDescent="0.3">
      <c r="A26" s="38" t="s">
        <v>127</v>
      </c>
      <c r="B26" s="36"/>
      <c r="C26" s="36"/>
      <c r="D26" s="36"/>
      <c r="E26" s="36"/>
      <c r="F26" s="36"/>
    </row>
    <row r="28" spans="1:6" ht="22.05" customHeight="1" x14ac:dyDescent="0.3">
      <c r="A28" s="39" t="s">
        <v>14</v>
      </c>
      <c r="B28" s="40"/>
      <c r="C28" s="40"/>
      <c r="D28" s="40"/>
      <c r="E28" s="40"/>
      <c r="F28" s="40"/>
    </row>
    <row r="29" spans="1:6" ht="96" customHeight="1" x14ac:dyDescent="0.3">
      <c r="A29" s="35" t="s">
        <v>15</v>
      </c>
      <c r="B29" s="36"/>
      <c r="C29" s="36"/>
      <c r="D29" s="36"/>
      <c r="E29" s="36"/>
      <c r="F29" s="36"/>
    </row>
    <row r="30" spans="1:6" ht="181.8" customHeight="1" x14ac:dyDescent="0.3">
      <c r="A30" s="38" t="s">
        <v>16</v>
      </c>
      <c r="B30" s="36"/>
      <c r="C30" s="36"/>
      <c r="D30" s="36"/>
      <c r="E30" s="36"/>
      <c r="F30" s="36"/>
    </row>
    <row r="32" spans="1:6" ht="22.05" customHeight="1" x14ac:dyDescent="0.3">
      <c r="A32" s="39" t="s">
        <v>17</v>
      </c>
      <c r="B32" s="40"/>
      <c r="C32" s="40"/>
      <c r="D32" s="40"/>
      <c r="E32" s="40"/>
      <c r="F32" s="40"/>
    </row>
    <row r="33" spans="1:6" ht="31.95" customHeight="1" x14ac:dyDescent="0.3">
      <c r="A33" s="35" t="s">
        <v>18</v>
      </c>
      <c r="B33" s="36"/>
      <c r="C33" s="36"/>
      <c r="D33" s="36"/>
      <c r="E33" s="36"/>
      <c r="F33" s="36"/>
    </row>
    <row r="34" spans="1:6" ht="102" customHeight="1" x14ac:dyDescent="0.3">
      <c r="A34" s="38" t="s">
        <v>19</v>
      </c>
      <c r="B34" s="36"/>
      <c r="C34" s="36"/>
      <c r="D34" s="36"/>
      <c r="E34" s="36"/>
      <c r="F34" s="36"/>
    </row>
    <row r="36" spans="1:6" ht="22.05" customHeight="1" x14ac:dyDescent="0.3">
      <c r="A36" s="39" t="s">
        <v>128</v>
      </c>
      <c r="B36" s="40"/>
      <c r="C36" s="40"/>
      <c r="D36" s="40"/>
      <c r="E36" s="40"/>
      <c r="F36" s="40"/>
    </row>
    <row r="37" spans="1:6" ht="31.95" customHeight="1" x14ac:dyDescent="0.3">
      <c r="A37" s="35" t="s">
        <v>20</v>
      </c>
      <c r="B37" s="36"/>
      <c r="C37" s="36"/>
      <c r="D37" s="36"/>
      <c r="E37" s="36"/>
      <c r="F37" s="36"/>
    </row>
    <row r="38" spans="1:6" ht="142.19999999999999" customHeight="1" x14ac:dyDescent="0.3">
      <c r="A38" s="38" t="s">
        <v>122</v>
      </c>
      <c r="B38" s="36"/>
      <c r="C38" s="36"/>
      <c r="D38" s="36"/>
      <c r="E38" s="36"/>
      <c r="F38" s="36"/>
    </row>
  </sheetData>
  <mergeCells count="28">
    <mergeCell ref="A16:F16"/>
    <mergeCell ref="A25:F25"/>
    <mergeCell ref="A34:F34"/>
    <mergeCell ref="A9:F9"/>
    <mergeCell ref="A15:F15"/>
    <mergeCell ref="A5:F5"/>
    <mergeCell ref="A30:F30"/>
    <mergeCell ref="A26:F26"/>
    <mergeCell ref="A11:F11"/>
    <mergeCell ref="A7:F7"/>
    <mergeCell ref="A32:F32"/>
    <mergeCell ref="A2:F2"/>
    <mergeCell ref="A21:F21"/>
    <mergeCell ref="A38:F38"/>
    <mergeCell ref="A1:F1"/>
    <mergeCell ref="A19:F19"/>
    <mergeCell ref="A28:F28"/>
    <mergeCell ref="A4:F4"/>
    <mergeCell ref="A18:F18"/>
    <mergeCell ref="A36:F36"/>
    <mergeCell ref="A37:F37"/>
    <mergeCell ref="A12:F12"/>
    <mergeCell ref="A33:F33"/>
    <mergeCell ref="A23:F23"/>
    <mergeCell ref="A8:F8"/>
    <mergeCell ref="A14:F14"/>
    <mergeCell ref="A22:F22"/>
    <mergeCell ref="A29:F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7"/>
  <sheetViews>
    <sheetView topLeftCell="I1" workbookViewId="0">
      <selection activeCell="B16" sqref="B16:E16"/>
    </sheetView>
  </sheetViews>
  <sheetFormatPr defaultRowHeight="14.4" x14ac:dyDescent="0.3"/>
  <cols>
    <col min="1" max="1" width="70.44140625" bestFit="1" customWidth="1"/>
    <col min="2" max="2" width="8.88671875" bestFit="1" customWidth="1"/>
    <col min="3" max="3" width="22.33203125" customWidth="1"/>
    <col min="4" max="4" width="18.77734375" customWidth="1"/>
    <col min="5" max="5" width="26" customWidth="1"/>
    <col min="6" max="6" width="24.33203125" bestFit="1" customWidth="1"/>
    <col min="7" max="7" width="13.109375" bestFit="1" customWidth="1"/>
    <col min="8" max="8" width="14.77734375" bestFit="1" customWidth="1"/>
    <col min="9" max="9" width="13.44140625" bestFit="1" customWidth="1"/>
    <col min="10" max="10" width="14.109375" bestFit="1" customWidth="1"/>
    <col min="11" max="11" width="15.6640625" bestFit="1" customWidth="1"/>
    <col min="12" max="12" width="14.88671875" bestFit="1" customWidth="1"/>
    <col min="13" max="13" width="16.44140625" bestFit="1" customWidth="1"/>
    <col min="15" max="15" width="9.77734375" bestFit="1" customWidth="1"/>
    <col min="16" max="16" width="13.5546875" bestFit="1" customWidth="1"/>
    <col min="17" max="17" width="14" bestFit="1" customWidth="1"/>
  </cols>
  <sheetData>
    <row r="1" spans="1:17" ht="24" customHeight="1" x14ac:dyDescent="0.35">
      <c r="A1" s="1" t="s">
        <v>21</v>
      </c>
    </row>
    <row r="2" spans="1:17" ht="18" customHeight="1" x14ac:dyDescent="0.3">
      <c r="A2" s="2"/>
    </row>
    <row r="4" spans="1:17" ht="28.05" customHeight="1" x14ac:dyDescent="0.3">
      <c r="A4" s="3" t="s">
        <v>22</v>
      </c>
      <c r="B4" s="3" t="s">
        <v>23</v>
      </c>
      <c r="C4" s="3" t="s">
        <v>24</v>
      </c>
      <c r="D4" s="3" t="s">
        <v>25</v>
      </c>
      <c r="E4" s="3" t="s">
        <v>26</v>
      </c>
      <c r="F4" s="3" t="s">
        <v>27</v>
      </c>
      <c r="G4" s="3" t="s">
        <v>28</v>
      </c>
      <c r="H4" s="3" t="s">
        <v>29</v>
      </c>
      <c r="I4" s="3" t="s">
        <v>30</v>
      </c>
      <c r="J4" s="3" t="s">
        <v>31</v>
      </c>
      <c r="K4" s="3" t="s">
        <v>32</v>
      </c>
      <c r="L4" s="3" t="s">
        <v>33</v>
      </c>
      <c r="M4" s="3" t="s">
        <v>34</v>
      </c>
      <c r="O4" t="s">
        <v>22</v>
      </c>
      <c r="P4" t="s">
        <v>35</v>
      </c>
      <c r="Q4" t="s">
        <v>36</v>
      </c>
    </row>
    <row r="5" spans="1:17" ht="19.95" customHeight="1" x14ac:dyDescent="0.3">
      <c r="A5" s="4" t="s">
        <v>37</v>
      </c>
      <c r="B5" s="5">
        <v>12</v>
      </c>
      <c r="C5" s="6">
        <v>3.6</v>
      </c>
      <c r="D5" s="7">
        <v>0.02</v>
      </c>
      <c r="E5" s="8">
        <v>2.5</v>
      </c>
      <c r="F5" s="5">
        <v>180</v>
      </c>
      <c r="G5" s="5">
        <v>70</v>
      </c>
      <c r="H5" s="6">
        <v>6.2</v>
      </c>
      <c r="I5" s="6">
        <f t="shared" ref="I5:I11" si="0">(C5*100)/B5</f>
        <v>30</v>
      </c>
      <c r="J5" s="7">
        <f t="shared" ref="J5:J11" si="1">G5/F5</f>
        <v>0.3888888888888889</v>
      </c>
      <c r="K5" s="7">
        <f t="shared" ref="K5:K11" si="2">B5/F5</f>
        <v>6.6666666666666666E-2</v>
      </c>
      <c r="L5" s="7">
        <f t="shared" ref="L5:L11" si="3">B5/G5</f>
        <v>0.17142857142857143</v>
      </c>
      <c r="M5" s="5">
        <f t="shared" ref="M5:M11" si="4">(E5*100000)/G5</f>
        <v>3571.4285714285716</v>
      </c>
      <c r="O5" t="str">
        <f t="shared" ref="O5:O10" si="5">A5</f>
        <v>April</v>
      </c>
      <c r="P5">
        <f t="shared" ref="P5:P10" si="6">C5</f>
        <v>3.6</v>
      </c>
      <c r="Q5">
        <f t="shared" ref="Q5:Q10" si="7">H5</f>
        <v>6.2</v>
      </c>
    </row>
    <row r="6" spans="1:17" ht="19.95" customHeight="1" x14ac:dyDescent="0.3">
      <c r="A6" s="4" t="s">
        <v>38</v>
      </c>
      <c r="B6" s="5">
        <v>15</v>
      </c>
      <c r="C6" s="6">
        <v>4.8</v>
      </c>
      <c r="D6" s="7">
        <v>2.5000000000000001E-2</v>
      </c>
      <c r="E6" s="8">
        <v>3</v>
      </c>
      <c r="F6" s="5">
        <v>240</v>
      </c>
      <c r="G6" s="5">
        <v>90</v>
      </c>
      <c r="H6" s="6">
        <v>7</v>
      </c>
      <c r="I6" s="6">
        <f t="shared" si="0"/>
        <v>32</v>
      </c>
      <c r="J6" s="7">
        <f t="shared" si="1"/>
        <v>0.375</v>
      </c>
      <c r="K6" s="7">
        <f t="shared" si="2"/>
        <v>6.25E-2</v>
      </c>
      <c r="L6" s="7">
        <f t="shared" si="3"/>
        <v>0.16666666666666666</v>
      </c>
      <c r="M6" s="5">
        <f t="shared" si="4"/>
        <v>3333.3333333333335</v>
      </c>
      <c r="O6" t="str">
        <f t="shared" si="5"/>
        <v>May</v>
      </c>
      <c r="P6">
        <f t="shared" si="6"/>
        <v>4.8</v>
      </c>
      <c r="Q6">
        <f t="shared" si="7"/>
        <v>7</v>
      </c>
    </row>
    <row r="7" spans="1:17" ht="19.95" customHeight="1" x14ac:dyDescent="0.3">
      <c r="A7" s="4" t="s">
        <v>39</v>
      </c>
      <c r="B7" s="5">
        <v>18</v>
      </c>
      <c r="C7" s="6">
        <v>5.7</v>
      </c>
      <c r="D7" s="7">
        <v>0.03</v>
      </c>
      <c r="E7" s="8">
        <v>3.5</v>
      </c>
      <c r="F7" s="5">
        <v>310</v>
      </c>
      <c r="G7" s="5">
        <v>105</v>
      </c>
      <c r="H7" s="6">
        <v>7.8</v>
      </c>
      <c r="I7" s="6">
        <f t="shared" si="0"/>
        <v>31.666666666666668</v>
      </c>
      <c r="J7" s="7">
        <f t="shared" si="1"/>
        <v>0.33870967741935482</v>
      </c>
      <c r="K7" s="7">
        <f t="shared" si="2"/>
        <v>5.8064516129032261E-2</v>
      </c>
      <c r="L7" s="7">
        <f t="shared" si="3"/>
        <v>0.17142857142857143</v>
      </c>
      <c r="M7" s="5">
        <f t="shared" si="4"/>
        <v>3333.3333333333335</v>
      </c>
      <c r="O7" t="str">
        <f t="shared" si="5"/>
        <v>June</v>
      </c>
      <c r="P7">
        <f t="shared" si="6"/>
        <v>5.7</v>
      </c>
      <c r="Q7">
        <f t="shared" si="7"/>
        <v>7.8</v>
      </c>
    </row>
    <row r="8" spans="1:17" ht="19.95" customHeight="1" x14ac:dyDescent="0.3">
      <c r="A8" s="4" t="s">
        <v>40</v>
      </c>
      <c r="B8" s="5">
        <v>16</v>
      </c>
      <c r="C8" s="6">
        <v>5.2</v>
      </c>
      <c r="D8" s="7">
        <v>3.5000000000000003E-2</v>
      </c>
      <c r="E8" s="8">
        <v>4</v>
      </c>
      <c r="F8" s="5">
        <v>360</v>
      </c>
      <c r="G8" s="5">
        <v>110</v>
      </c>
      <c r="H8" s="6">
        <v>8.6</v>
      </c>
      <c r="I8" s="6">
        <f t="shared" si="0"/>
        <v>32.5</v>
      </c>
      <c r="J8" s="7">
        <f t="shared" si="1"/>
        <v>0.30555555555555558</v>
      </c>
      <c r="K8" s="7">
        <f t="shared" si="2"/>
        <v>4.4444444444444446E-2</v>
      </c>
      <c r="L8" s="7">
        <f t="shared" si="3"/>
        <v>0.14545454545454545</v>
      </c>
      <c r="M8" s="5">
        <f t="shared" si="4"/>
        <v>3636.3636363636365</v>
      </c>
      <c r="O8" t="str">
        <f t="shared" si="5"/>
        <v>July</v>
      </c>
      <c r="P8">
        <f t="shared" si="6"/>
        <v>5.2</v>
      </c>
      <c r="Q8">
        <f t="shared" si="7"/>
        <v>8.6</v>
      </c>
    </row>
    <row r="9" spans="1:17" ht="19.95" customHeight="1" x14ac:dyDescent="0.3">
      <c r="A9" s="4" t="s">
        <v>41</v>
      </c>
      <c r="B9" s="5">
        <v>22</v>
      </c>
      <c r="C9" s="6">
        <v>7.5</v>
      </c>
      <c r="D9" s="7">
        <v>4.4999999999999998E-2</v>
      </c>
      <c r="E9" s="8">
        <v>5.5</v>
      </c>
      <c r="F9" s="5">
        <v>520</v>
      </c>
      <c r="G9" s="5">
        <v>145</v>
      </c>
      <c r="H9" s="6">
        <v>9.6999999999999993</v>
      </c>
      <c r="I9" s="6">
        <f t="shared" si="0"/>
        <v>34.090909090909093</v>
      </c>
      <c r="J9" s="7">
        <f t="shared" si="1"/>
        <v>0.27884615384615385</v>
      </c>
      <c r="K9" s="7">
        <f t="shared" si="2"/>
        <v>4.230769230769231E-2</v>
      </c>
      <c r="L9" s="7">
        <f t="shared" si="3"/>
        <v>0.15172413793103448</v>
      </c>
      <c r="M9" s="5">
        <f t="shared" si="4"/>
        <v>3793.1034482758619</v>
      </c>
      <c r="O9" t="str">
        <f t="shared" si="5"/>
        <v>August</v>
      </c>
      <c r="P9">
        <f t="shared" si="6"/>
        <v>7.5</v>
      </c>
      <c r="Q9">
        <f t="shared" si="7"/>
        <v>9.6999999999999993</v>
      </c>
    </row>
    <row r="10" spans="1:17" ht="19.95" customHeight="1" x14ac:dyDescent="0.3">
      <c r="A10" s="4" t="s">
        <v>42</v>
      </c>
      <c r="B10" s="5">
        <v>25</v>
      </c>
      <c r="C10" s="6">
        <v>8.9</v>
      </c>
      <c r="D10" s="7">
        <v>0.05</v>
      </c>
      <c r="E10" s="8">
        <v>7</v>
      </c>
      <c r="F10" s="5">
        <v>680</v>
      </c>
      <c r="G10" s="5">
        <v>170</v>
      </c>
      <c r="H10" s="6">
        <v>10.8</v>
      </c>
      <c r="I10" s="6">
        <f t="shared" si="0"/>
        <v>35.6</v>
      </c>
      <c r="J10" s="7">
        <f t="shared" si="1"/>
        <v>0.25</v>
      </c>
      <c r="K10" s="7">
        <f t="shared" si="2"/>
        <v>3.6764705882352942E-2</v>
      </c>
      <c r="L10" s="7">
        <f t="shared" si="3"/>
        <v>0.14705882352941177</v>
      </c>
      <c r="M10" s="5">
        <f t="shared" si="4"/>
        <v>4117.6470588235297</v>
      </c>
      <c r="O10" t="str">
        <f t="shared" si="5"/>
        <v>September</v>
      </c>
      <c r="P10">
        <f t="shared" si="6"/>
        <v>8.9</v>
      </c>
      <c r="Q10">
        <f t="shared" si="7"/>
        <v>10.8</v>
      </c>
    </row>
    <row r="11" spans="1:17" ht="22.05" customHeight="1" x14ac:dyDescent="0.3">
      <c r="A11" s="9" t="s">
        <v>43</v>
      </c>
      <c r="B11" s="10">
        <f>SUM(B5:B10)</f>
        <v>108</v>
      </c>
      <c r="C11" s="11">
        <f>SUM(C5:C10)</f>
        <v>35.700000000000003</v>
      </c>
      <c r="D11" s="12">
        <f>AVERAGE(D5:D10)</f>
        <v>3.4166666666666672E-2</v>
      </c>
      <c r="E11" s="13">
        <f>SUM(E5:E10)</f>
        <v>25.5</v>
      </c>
      <c r="F11" s="10">
        <f>SUM(F5:F10)</f>
        <v>2290</v>
      </c>
      <c r="G11" s="10">
        <f>SUM(G5:G10)</f>
        <v>690</v>
      </c>
      <c r="H11" s="11">
        <f>AVERAGE(H5:H10)</f>
        <v>8.35</v>
      </c>
      <c r="I11" s="11">
        <f t="shared" si="0"/>
        <v>33.055555555555557</v>
      </c>
      <c r="J11" s="12">
        <f t="shared" si="1"/>
        <v>0.30131004366812225</v>
      </c>
      <c r="K11" s="12">
        <f t="shared" si="2"/>
        <v>4.7161572052401748E-2</v>
      </c>
      <c r="L11" s="12">
        <f t="shared" si="3"/>
        <v>0.15652173913043479</v>
      </c>
      <c r="M11" s="10">
        <f t="shared" si="4"/>
        <v>3695.6521739130435</v>
      </c>
    </row>
    <row r="13" spans="1:17" ht="19.95" customHeight="1" x14ac:dyDescent="0.3">
      <c r="A13" s="32" t="s">
        <v>44</v>
      </c>
      <c r="B13" s="33"/>
      <c r="C13" s="33"/>
      <c r="D13" s="33"/>
      <c r="E13" s="33"/>
      <c r="F13" s="33"/>
    </row>
    <row r="14" spans="1:17" ht="19.95" customHeight="1" x14ac:dyDescent="0.3">
      <c r="A14" s="14" t="s">
        <v>45</v>
      </c>
      <c r="B14" s="34" t="s">
        <v>46</v>
      </c>
      <c r="C14" s="31"/>
      <c r="D14" s="31"/>
      <c r="E14" s="31"/>
      <c r="F14" s="15" t="s">
        <v>47</v>
      </c>
    </row>
    <row r="15" spans="1:17" ht="19.95" customHeight="1" x14ac:dyDescent="0.3">
      <c r="A15" s="14" t="s">
        <v>48</v>
      </c>
      <c r="B15" s="34" t="s">
        <v>49</v>
      </c>
      <c r="C15" s="31"/>
      <c r="D15" s="31"/>
      <c r="E15" s="31"/>
      <c r="F15" s="15" t="s">
        <v>50</v>
      </c>
    </row>
    <row r="16" spans="1:17" ht="19.95" customHeight="1" x14ac:dyDescent="0.3">
      <c r="A16" s="14" t="s">
        <v>51</v>
      </c>
      <c r="B16" s="34" t="s">
        <v>52</v>
      </c>
      <c r="C16" s="31"/>
      <c r="D16" s="31"/>
      <c r="E16" s="31"/>
      <c r="F16" s="15" t="s">
        <v>53</v>
      </c>
    </row>
    <row r="17" spans="1:6" ht="19.95" customHeight="1" x14ac:dyDescent="0.3">
      <c r="A17" s="14" t="s">
        <v>54</v>
      </c>
      <c r="B17" s="34" t="s">
        <v>55</v>
      </c>
      <c r="C17" s="31"/>
      <c r="D17" s="31"/>
      <c r="E17" s="31"/>
      <c r="F17" s="15" t="s">
        <v>56</v>
      </c>
    </row>
  </sheetData>
  <mergeCells count="5">
    <mergeCell ref="B17:E17"/>
    <mergeCell ref="A13:F13"/>
    <mergeCell ref="B16:E16"/>
    <mergeCell ref="B15:E15"/>
    <mergeCell ref="B14:E14"/>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workbookViewId="0">
      <selection activeCell="G15" sqref="G15"/>
    </sheetView>
  </sheetViews>
  <sheetFormatPr defaultRowHeight="14.4" x14ac:dyDescent="0.3"/>
  <cols>
    <col min="1" max="3" width="16" customWidth="1"/>
    <col min="4" max="4" width="19" customWidth="1"/>
    <col min="5" max="5" width="18" customWidth="1"/>
    <col min="6" max="6" width="16" customWidth="1"/>
    <col min="7" max="7" width="46.33203125" bestFit="1" customWidth="1"/>
    <col min="8" max="9" width="16" customWidth="1"/>
    <col min="10" max="10" width="18" customWidth="1"/>
    <col min="11" max="11" width="16" customWidth="1"/>
  </cols>
  <sheetData>
    <row r="1" spans="1:11" ht="24" customHeight="1" x14ac:dyDescent="0.35">
      <c r="A1" s="1" t="s">
        <v>57</v>
      </c>
    </row>
    <row r="3" spans="1:11" ht="28.05" customHeight="1" x14ac:dyDescent="0.3">
      <c r="A3" s="3" t="s">
        <v>58</v>
      </c>
      <c r="B3" s="3" t="s">
        <v>59</v>
      </c>
      <c r="C3" s="3" t="s">
        <v>60</v>
      </c>
      <c r="D3" s="3" t="s">
        <v>61</v>
      </c>
      <c r="E3" s="3" t="s">
        <v>62</v>
      </c>
      <c r="F3" s="3" t="s">
        <v>63</v>
      </c>
      <c r="G3" s="3" t="s">
        <v>64</v>
      </c>
      <c r="H3" s="3" t="s">
        <v>65</v>
      </c>
      <c r="I3" s="3" t="s">
        <v>66</v>
      </c>
      <c r="J3" s="3" t="s">
        <v>67</v>
      </c>
      <c r="K3" s="3" t="s">
        <v>68</v>
      </c>
    </row>
    <row r="4" spans="1:11" ht="19.95" customHeight="1" x14ac:dyDescent="0.3">
      <c r="A4" s="4" t="s">
        <v>69</v>
      </c>
      <c r="B4" s="6">
        <v>28</v>
      </c>
      <c r="C4" s="6">
        <v>1.8</v>
      </c>
      <c r="D4" s="6">
        <v>5.5</v>
      </c>
      <c r="E4" s="6">
        <v>1.2</v>
      </c>
      <c r="F4" s="6">
        <f>SUM(B4:E4)</f>
        <v>36.5</v>
      </c>
      <c r="G4" s="6">
        <v>39</v>
      </c>
      <c r="H4" s="6">
        <f>G4-F4</f>
        <v>2.5</v>
      </c>
      <c r="I4" s="16">
        <f>H4/F4</f>
        <v>6.8493150684931503E-2</v>
      </c>
      <c r="J4" s="16">
        <f>H4/G4</f>
        <v>6.4102564102564097E-2</v>
      </c>
      <c r="K4" s="4" t="str">
        <f>RANK(J4,$J$4:$J$7)&amp;IF(RANK(J4,$J$4:$J$7)=1," (Best)","")</f>
        <v>4</v>
      </c>
    </row>
    <row r="5" spans="1:11" ht="19.95" customHeight="1" x14ac:dyDescent="0.3">
      <c r="A5" s="4" t="s">
        <v>70</v>
      </c>
      <c r="B5" s="6">
        <v>35</v>
      </c>
      <c r="C5" s="6">
        <v>2.2000000000000002</v>
      </c>
      <c r="D5" s="6">
        <v>7</v>
      </c>
      <c r="E5" s="6">
        <v>1.3</v>
      </c>
      <c r="F5" s="6">
        <f>SUM(B5:E5)</f>
        <v>45.5</v>
      </c>
      <c r="G5" s="6">
        <v>49</v>
      </c>
      <c r="H5" s="6">
        <f>G5-F5</f>
        <v>3.5</v>
      </c>
      <c r="I5" s="16">
        <f>H5/F5</f>
        <v>7.6923076923076927E-2</v>
      </c>
      <c r="J5" s="16">
        <f>H5/G5</f>
        <v>7.1428571428571425E-2</v>
      </c>
      <c r="K5" s="4" t="str">
        <f>RANK(J5,$J$4:$J$7)&amp;IF(RANK(J5,$J$4:$J$7)=1," (Best)","")</f>
        <v>3</v>
      </c>
    </row>
    <row r="6" spans="1:11" ht="19.95" customHeight="1" x14ac:dyDescent="0.3">
      <c r="A6" s="4" t="s">
        <v>71</v>
      </c>
      <c r="B6" s="6">
        <v>26</v>
      </c>
      <c r="C6" s="6">
        <v>1.7</v>
      </c>
      <c r="D6" s="6">
        <v>5</v>
      </c>
      <c r="E6" s="6">
        <v>1.1000000000000001</v>
      </c>
      <c r="F6" s="6">
        <f>SUM(B6:E6)</f>
        <v>33.800000000000004</v>
      </c>
      <c r="G6" s="6">
        <v>37</v>
      </c>
      <c r="H6" s="6">
        <f>G6-F6</f>
        <v>3.1999999999999957</v>
      </c>
      <c r="I6" s="16">
        <f>H6/F6</f>
        <v>9.467455621301761E-2</v>
      </c>
      <c r="J6" s="16">
        <f>H6/G6</f>
        <v>8.6486486486486366E-2</v>
      </c>
      <c r="K6" s="4" t="str">
        <f>RANK(J6,$J$4:$J$7)&amp;IF(RANK(J6,$J$4:$J$7)=1," (Best)","")</f>
        <v>2</v>
      </c>
    </row>
    <row r="7" spans="1:11" ht="19.95" customHeight="1" x14ac:dyDescent="0.3">
      <c r="A7" s="4" t="s">
        <v>72</v>
      </c>
      <c r="B7" s="6">
        <v>30</v>
      </c>
      <c r="C7" s="6">
        <v>2</v>
      </c>
      <c r="D7" s="6">
        <v>6</v>
      </c>
      <c r="E7" s="6">
        <v>1.25</v>
      </c>
      <c r="F7" s="6">
        <f>SUM(B7:E7)</f>
        <v>39.25</v>
      </c>
      <c r="G7" s="6">
        <v>43</v>
      </c>
      <c r="H7" s="6">
        <f>G7-F7</f>
        <v>3.75</v>
      </c>
      <c r="I7" s="16">
        <f>H7/F7</f>
        <v>9.5541401273885357E-2</v>
      </c>
      <c r="J7" s="16">
        <f>H7/G7</f>
        <v>8.7209302325581398E-2</v>
      </c>
      <c r="K7" s="4" t="str">
        <f>RANK(J7,$J$4:$J$7)&amp;IF(RANK(J7,$J$4:$J$7)=1," (Best)","")</f>
        <v>1 (Best)</v>
      </c>
    </row>
    <row r="10" spans="1:11" ht="19.95" customHeight="1" x14ac:dyDescent="0.3">
      <c r="A10" s="32" t="s">
        <v>73</v>
      </c>
      <c r="B10" s="33"/>
      <c r="C10" s="33"/>
      <c r="D10" s="33"/>
      <c r="E10" s="33"/>
      <c r="F10" s="33"/>
      <c r="G10" s="33"/>
      <c r="H10" s="33"/>
    </row>
    <row r="11" spans="1:11" ht="24" customHeight="1" x14ac:dyDescent="0.3">
      <c r="A11" s="17" t="s">
        <v>58</v>
      </c>
      <c r="B11" s="17" t="s">
        <v>74</v>
      </c>
      <c r="C11" s="17" t="s">
        <v>75</v>
      </c>
      <c r="D11" s="17" t="s">
        <v>76</v>
      </c>
      <c r="E11" s="17" t="s">
        <v>77</v>
      </c>
      <c r="F11" s="17" t="s">
        <v>78</v>
      </c>
      <c r="G11" s="17" t="s">
        <v>79</v>
      </c>
    </row>
    <row r="12" spans="1:11" ht="19.95" customHeight="1" x14ac:dyDescent="0.3">
      <c r="A12" s="18" t="str">
        <f>A4</f>
        <v>EV Van</v>
      </c>
      <c r="B12" s="6">
        <f>H4</f>
        <v>2.5</v>
      </c>
      <c r="C12" s="6">
        <f>G4*0.05</f>
        <v>1.9500000000000002</v>
      </c>
      <c r="D12" s="6">
        <f>B12-C12</f>
        <v>0.54999999999999982</v>
      </c>
      <c r="E12" s="16">
        <f>D12/(G4*0.95)</f>
        <v>1.4844804318488525E-2</v>
      </c>
      <c r="F12" s="7">
        <f>(B12-D12)/B12</f>
        <v>0.78</v>
      </c>
      <c r="G12" s="19" t="s">
        <v>80</v>
      </c>
    </row>
    <row r="13" spans="1:11" ht="19.95" customHeight="1" x14ac:dyDescent="0.3">
      <c r="A13" s="18" t="str">
        <f>A5</f>
        <v>Truck</v>
      </c>
      <c r="B13" s="6">
        <f>H5</f>
        <v>3.5</v>
      </c>
      <c r="C13" s="6">
        <f>G5*0.05</f>
        <v>2.4500000000000002</v>
      </c>
      <c r="D13" s="6">
        <f>B13-C13</f>
        <v>1.0499999999999998</v>
      </c>
      <c r="E13" s="16">
        <f>D13/(G5*0.95)</f>
        <v>2.2556390977443608E-2</v>
      </c>
      <c r="F13" s="7">
        <f>(B13-D13)/B13</f>
        <v>0.70000000000000007</v>
      </c>
      <c r="G13" s="20" t="s">
        <v>81</v>
      </c>
    </row>
    <row r="14" spans="1:11" ht="19.95" customHeight="1" x14ac:dyDescent="0.3">
      <c r="A14" s="18" t="str">
        <f>A6</f>
        <v>Pickup</v>
      </c>
      <c r="B14" s="6">
        <f>H6</f>
        <v>3.1999999999999957</v>
      </c>
      <c r="C14" s="6">
        <f>G6*0.05</f>
        <v>1.85</v>
      </c>
      <c r="D14" s="6">
        <f>B14-C14</f>
        <v>1.3499999999999956</v>
      </c>
      <c r="E14" s="16">
        <f>D14/(G6*0.95)</f>
        <v>3.8406827880511966E-2</v>
      </c>
      <c r="F14" s="7">
        <f>(B14-D14)/B14</f>
        <v>0.57812500000000078</v>
      </c>
      <c r="G14" s="21" t="s">
        <v>82</v>
      </c>
    </row>
    <row r="15" spans="1:11" ht="19.95" customHeight="1" x14ac:dyDescent="0.3">
      <c r="A15" s="18" t="str">
        <f>A7</f>
        <v>Machinery</v>
      </c>
      <c r="B15" s="6">
        <f>H7</f>
        <v>3.75</v>
      </c>
      <c r="C15" s="6">
        <f>G7*0.05</f>
        <v>2.15</v>
      </c>
      <c r="D15" s="6">
        <f>B15-C15</f>
        <v>1.6</v>
      </c>
      <c r="E15" s="16">
        <f>D15/(G7*0.95)</f>
        <v>3.9167686658506735E-2</v>
      </c>
      <c r="F15" s="7">
        <f>(B15-D15)/B15</f>
        <v>0.57333333333333336</v>
      </c>
      <c r="G15" s="21" t="s">
        <v>82</v>
      </c>
    </row>
  </sheetData>
  <mergeCells count="1">
    <mergeCell ref="A10:H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2"/>
  <sheetViews>
    <sheetView tabSelected="1" topLeftCell="A8" workbookViewId="0">
      <selection activeCell="I15" sqref="I15"/>
    </sheetView>
  </sheetViews>
  <sheetFormatPr defaultRowHeight="14.4" x14ac:dyDescent="0.3"/>
  <cols>
    <col min="1" max="1" width="22" customWidth="1"/>
    <col min="2" max="4" width="16" customWidth="1"/>
    <col min="5" max="5" width="19.33203125" bestFit="1" customWidth="1"/>
    <col min="6" max="6" width="16" customWidth="1"/>
    <col min="7" max="7" width="18" customWidth="1"/>
    <col min="8" max="8" width="24.33203125" customWidth="1"/>
    <col min="9" max="9" width="22" customWidth="1"/>
  </cols>
  <sheetData>
    <row r="1" spans="1:9" ht="24" customHeight="1" x14ac:dyDescent="0.35">
      <c r="A1" s="1" t="s">
        <v>83</v>
      </c>
    </row>
    <row r="2" spans="1:9" ht="18" customHeight="1" x14ac:dyDescent="0.3">
      <c r="A2" s="2"/>
    </row>
    <row r="4" spans="1:9" ht="28.05" customHeight="1" x14ac:dyDescent="0.3">
      <c r="A4" s="3" t="s">
        <v>84</v>
      </c>
      <c r="B4" s="3" t="s">
        <v>35</v>
      </c>
      <c r="C4" s="3" t="s">
        <v>85</v>
      </c>
      <c r="D4" s="3" t="s">
        <v>86</v>
      </c>
      <c r="E4" s="3" t="s">
        <v>87</v>
      </c>
      <c r="F4" s="3" t="s">
        <v>88</v>
      </c>
      <c r="G4" s="3" t="s">
        <v>89</v>
      </c>
      <c r="H4" s="3" t="s">
        <v>90</v>
      </c>
      <c r="I4" s="3" t="s">
        <v>91</v>
      </c>
    </row>
    <row r="5" spans="1:9" ht="19.95" customHeight="1" x14ac:dyDescent="0.3">
      <c r="A5" s="22" t="s">
        <v>92</v>
      </c>
      <c r="B5" s="6">
        <v>1.25</v>
      </c>
      <c r="C5" s="6">
        <v>0.65</v>
      </c>
      <c r="D5" s="6">
        <v>0.6</v>
      </c>
      <c r="E5" s="5">
        <v>115</v>
      </c>
      <c r="F5" s="7">
        <f t="shared" ref="F5:F15" si="0">C5/B5</f>
        <v>0.52</v>
      </c>
      <c r="G5" s="7">
        <f t="shared" ref="G5:G15" si="1">D5/B5</f>
        <v>0.48</v>
      </c>
      <c r="H5" s="18" t="str">
        <f t="shared" ref="H5:H14" si="2">IF(E5&gt;90,"&gt; 90 Days",IF(E5&gt;60,"61 - 90 Days",IF(E5&gt;30,"31 - 60 Days","&lt;= 30 Days")))</f>
        <v>&gt; 90 Days</v>
      </c>
      <c r="I5" s="15" t="s">
        <v>93</v>
      </c>
    </row>
    <row r="6" spans="1:9" ht="19.95" customHeight="1" x14ac:dyDescent="0.3">
      <c r="A6" s="22" t="s">
        <v>94</v>
      </c>
      <c r="B6" s="6">
        <v>0.98</v>
      </c>
      <c r="C6" s="6">
        <v>0.7</v>
      </c>
      <c r="D6" s="6">
        <v>0.28000000000000003</v>
      </c>
      <c r="E6" s="5">
        <v>78</v>
      </c>
      <c r="F6" s="7">
        <f t="shared" si="0"/>
        <v>0.7142857142857143</v>
      </c>
      <c r="G6" s="7">
        <f t="shared" si="1"/>
        <v>0.28571428571428575</v>
      </c>
      <c r="H6" s="18" t="str">
        <f t="shared" si="2"/>
        <v>61 - 90 Days</v>
      </c>
      <c r="I6" s="23" t="s">
        <v>95</v>
      </c>
    </row>
    <row r="7" spans="1:9" ht="19.95" customHeight="1" x14ac:dyDescent="0.3">
      <c r="A7" s="22" t="s">
        <v>96</v>
      </c>
      <c r="B7" s="6">
        <v>0.82</v>
      </c>
      <c r="C7" s="6">
        <v>0.61</v>
      </c>
      <c r="D7" s="6">
        <v>0.21</v>
      </c>
      <c r="E7" s="5">
        <v>42</v>
      </c>
      <c r="F7" s="7">
        <f t="shared" si="0"/>
        <v>0.74390243902439024</v>
      </c>
      <c r="G7" s="7">
        <f t="shared" si="1"/>
        <v>0.25609756097560976</v>
      </c>
      <c r="H7" s="18" t="str">
        <f t="shared" si="2"/>
        <v>31 - 60 Days</v>
      </c>
      <c r="I7" s="24" t="s">
        <v>97</v>
      </c>
    </row>
    <row r="8" spans="1:9" ht="19.95" customHeight="1" x14ac:dyDescent="0.3">
      <c r="A8" s="22" t="s">
        <v>98</v>
      </c>
      <c r="B8" s="6">
        <v>0.76</v>
      </c>
      <c r="C8" s="6">
        <v>0.5</v>
      </c>
      <c r="D8" s="6">
        <v>0.26</v>
      </c>
      <c r="E8" s="5">
        <v>102</v>
      </c>
      <c r="F8" s="7">
        <f t="shared" si="0"/>
        <v>0.65789473684210531</v>
      </c>
      <c r="G8" s="7">
        <f t="shared" si="1"/>
        <v>0.34210526315789475</v>
      </c>
      <c r="H8" s="18" t="str">
        <f t="shared" si="2"/>
        <v>&gt; 90 Days</v>
      </c>
      <c r="I8" s="15" t="s">
        <v>99</v>
      </c>
    </row>
    <row r="9" spans="1:9" ht="19.95" customHeight="1" x14ac:dyDescent="0.3">
      <c r="A9" s="22" t="s">
        <v>100</v>
      </c>
      <c r="B9" s="6">
        <v>1.45</v>
      </c>
      <c r="C9" s="6">
        <v>1.2</v>
      </c>
      <c r="D9" s="6">
        <v>0.25</v>
      </c>
      <c r="E9" s="5">
        <v>35</v>
      </c>
      <c r="F9" s="7">
        <f t="shared" si="0"/>
        <v>0.82758620689655171</v>
      </c>
      <c r="G9" s="7">
        <f t="shared" si="1"/>
        <v>0.17241379310344829</v>
      </c>
      <c r="H9" s="18" t="str">
        <f t="shared" si="2"/>
        <v>31 - 60 Days</v>
      </c>
      <c r="I9" s="24" t="s">
        <v>97</v>
      </c>
    </row>
    <row r="10" spans="1:9" ht="19.95" customHeight="1" x14ac:dyDescent="0.3">
      <c r="A10" s="22" t="s">
        <v>101</v>
      </c>
      <c r="B10" s="6">
        <v>0.69</v>
      </c>
      <c r="C10" s="6">
        <v>0.45</v>
      </c>
      <c r="D10" s="6">
        <v>0.24</v>
      </c>
      <c r="E10" s="5">
        <v>128</v>
      </c>
      <c r="F10" s="7">
        <f t="shared" si="0"/>
        <v>0.65217391304347838</v>
      </c>
      <c r="G10" s="7">
        <f t="shared" si="1"/>
        <v>0.34782608695652173</v>
      </c>
      <c r="H10" s="18" t="str">
        <f t="shared" si="2"/>
        <v>&gt; 90 Days</v>
      </c>
      <c r="I10" s="15" t="s">
        <v>93</v>
      </c>
    </row>
    <row r="11" spans="1:9" ht="19.95" customHeight="1" x14ac:dyDescent="0.3">
      <c r="A11" s="22" t="s">
        <v>102</v>
      </c>
      <c r="B11" s="6">
        <v>0.57999999999999996</v>
      </c>
      <c r="C11" s="6">
        <v>0.43</v>
      </c>
      <c r="D11" s="6">
        <v>0.15</v>
      </c>
      <c r="E11" s="5">
        <v>65</v>
      </c>
      <c r="F11" s="7">
        <f t="shared" si="0"/>
        <v>0.74137931034482762</v>
      </c>
      <c r="G11" s="7">
        <f t="shared" si="1"/>
        <v>0.25862068965517243</v>
      </c>
      <c r="H11" s="18" t="str">
        <f t="shared" si="2"/>
        <v>61 - 90 Days</v>
      </c>
      <c r="I11" s="23" t="s">
        <v>95</v>
      </c>
    </row>
    <row r="12" spans="1:9" ht="19.95" customHeight="1" x14ac:dyDescent="0.3">
      <c r="A12" s="22" t="s">
        <v>103</v>
      </c>
      <c r="B12" s="6">
        <v>0.62</v>
      </c>
      <c r="C12" s="6">
        <v>0.52</v>
      </c>
      <c r="D12" s="6">
        <v>0.1</v>
      </c>
      <c r="E12" s="5">
        <v>28</v>
      </c>
      <c r="F12" s="7">
        <f t="shared" si="0"/>
        <v>0.83870967741935487</v>
      </c>
      <c r="G12" s="7">
        <f t="shared" si="1"/>
        <v>0.16129032258064518</v>
      </c>
      <c r="H12" s="18" t="str">
        <f t="shared" si="2"/>
        <v>&lt;= 30 Days</v>
      </c>
      <c r="I12" s="24" t="s">
        <v>97</v>
      </c>
    </row>
    <row r="13" spans="1:9" ht="19.95" customHeight="1" x14ac:dyDescent="0.3">
      <c r="A13" s="22" t="s">
        <v>104</v>
      </c>
      <c r="B13" s="6">
        <v>0.71</v>
      </c>
      <c r="C13" s="6">
        <v>0.48</v>
      </c>
      <c r="D13" s="6">
        <v>0.23</v>
      </c>
      <c r="E13" s="5">
        <v>94</v>
      </c>
      <c r="F13" s="7">
        <f t="shared" si="0"/>
        <v>0.676056338028169</v>
      </c>
      <c r="G13" s="7">
        <f t="shared" si="1"/>
        <v>0.323943661971831</v>
      </c>
      <c r="H13" s="18" t="str">
        <f t="shared" si="2"/>
        <v>&gt; 90 Days</v>
      </c>
      <c r="I13" s="15" t="s">
        <v>99</v>
      </c>
    </row>
    <row r="14" spans="1:9" ht="19.95" customHeight="1" x14ac:dyDescent="0.3">
      <c r="A14" s="22" t="s">
        <v>105</v>
      </c>
      <c r="B14" s="6">
        <v>0.91</v>
      </c>
      <c r="C14" s="6">
        <v>0.76</v>
      </c>
      <c r="D14" s="6">
        <v>0.15</v>
      </c>
      <c r="E14" s="5">
        <v>51</v>
      </c>
      <c r="F14" s="7">
        <f t="shared" si="0"/>
        <v>0.8351648351648352</v>
      </c>
      <c r="G14" s="7">
        <f t="shared" si="1"/>
        <v>0.16483516483516483</v>
      </c>
      <c r="H14" s="18" t="str">
        <f t="shared" si="2"/>
        <v>31 - 60 Days</v>
      </c>
      <c r="I14" s="24" t="s">
        <v>97</v>
      </c>
    </row>
    <row r="15" spans="1:9" ht="22.05" customHeight="1" x14ac:dyDescent="0.3">
      <c r="A15" s="25" t="s">
        <v>106</v>
      </c>
      <c r="B15" s="11">
        <f>SUM(B5:B14)</f>
        <v>8.77</v>
      </c>
      <c r="C15" s="11">
        <f>SUM(C5:C14)</f>
        <v>6.3000000000000007</v>
      </c>
      <c r="D15" s="11">
        <f>SUM(D5:D14)</f>
        <v>2.4699999999999998</v>
      </c>
      <c r="E15" s="26">
        <f>AVERAGE(E5:E14)</f>
        <v>73.8</v>
      </c>
      <c r="F15" s="12">
        <f t="shared" si="0"/>
        <v>0.71835803876852922</v>
      </c>
      <c r="G15" s="12">
        <f t="shared" si="1"/>
        <v>0.28164196123147089</v>
      </c>
      <c r="H15" s="9" t="s">
        <v>107</v>
      </c>
      <c r="I15" s="9" t="s">
        <v>108</v>
      </c>
    </row>
    <row r="17" spans="1:5" ht="19.95" customHeight="1" x14ac:dyDescent="0.3">
      <c r="A17" s="32" t="s">
        <v>109</v>
      </c>
      <c r="B17" s="33"/>
      <c r="C17" s="33"/>
      <c r="D17" s="33"/>
      <c r="E17" s="33"/>
    </row>
    <row r="18" spans="1:5" ht="22.05" customHeight="1" x14ac:dyDescent="0.3">
      <c r="A18" s="27" t="s">
        <v>110</v>
      </c>
      <c r="B18" s="27" t="s">
        <v>86</v>
      </c>
      <c r="C18" s="27" t="s">
        <v>111</v>
      </c>
      <c r="D18" s="27" t="s">
        <v>112</v>
      </c>
      <c r="E18" s="27" t="s">
        <v>113</v>
      </c>
    </row>
    <row r="19" spans="1:5" ht="19.95" customHeight="1" x14ac:dyDescent="0.3">
      <c r="A19" s="14" t="s">
        <v>114</v>
      </c>
      <c r="B19" s="28">
        <f>SUMIFS(D$5:D$14, E$5:E$14, "&lt;=30")</f>
        <v>0.1</v>
      </c>
      <c r="C19" s="29">
        <f>B19/$D$15</f>
        <v>4.0485829959514177E-2</v>
      </c>
      <c r="D19" s="30">
        <f>COUNTIF(E$5:E$14, "&lt;=30")</f>
        <v>1</v>
      </c>
      <c r="E19" s="18" t="s">
        <v>115</v>
      </c>
    </row>
    <row r="20" spans="1:5" ht="19.95" customHeight="1" x14ac:dyDescent="0.3">
      <c r="A20" s="14" t="s">
        <v>116</v>
      </c>
      <c r="B20" s="28">
        <f>SUMIFS(D$5:D$14, E$5:E$14, "&gt;30", E$5:E$14, "&lt;=60")</f>
        <v>0.61</v>
      </c>
      <c r="C20" s="29">
        <f>B20/$D$15</f>
        <v>0.24696356275303646</v>
      </c>
      <c r="D20" s="30">
        <f>COUNTIFS(E$5:E$14, "&gt;30", E$5:E$14, "&lt;=60")</f>
        <v>3</v>
      </c>
      <c r="E20" s="18" t="s">
        <v>117</v>
      </c>
    </row>
    <row r="21" spans="1:5" ht="19.95" customHeight="1" x14ac:dyDescent="0.3">
      <c r="A21" s="14" t="s">
        <v>118</v>
      </c>
      <c r="B21" s="28">
        <f>SUMIFS(D$5:D$14, E$5:E$14, "&gt;60", E$5:E$14, "&lt;=90")</f>
        <v>0.43000000000000005</v>
      </c>
      <c r="C21" s="29">
        <f>B21/$D$15</f>
        <v>0.17408906882591096</v>
      </c>
      <c r="D21" s="30">
        <f>COUNTIFS(E$5:E$14, "&gt;60", E$5:E$14, "&lt;=90")</f>
        <v>2</v>
      </c>
      <c r="E21" s="18" t="s">
        <v>119</v>
      </c>
    </row>
    <row r="22" spans="1:5" ht="19.95" customHeight="1" x14ac:dyDescent="0.3">
      <c r="A22" s="14" t="s">
        <v>120</v>
      </c>
      <c r="B22" s="28">
        <f>SUMIFS(D$5:D$14, E$5:E$14, "&gt;90")</f>
        <v>1.33</v>
      </c>
      <c r="C22" s="29">
        <f>B22/$D$15</f>
        <v>0.53846153846153855</v>
      </c>
      <c r="D22" s="30">
        <f>COUNTIF(E$5:E$14, "&gt;90")</f>
        <v>4</v>
      </c>
      <c r="E22" s="15" t="s">
        <v>121</v>
      </c>
    </row>
  </sheetData>
  <mergeCells count="1">
    <mergeCell ref="A17:E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Assessment_Answers</vt:lpstr>
      <vt:lpstr>1_Sales_&amp;_Marketing</vt:lpstr>
      <vt:lpstr>2_Import_&amp;_Costing</vt:lpstr>
      <vt:lpstr>3_Collections_&amp;_Aging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Mohan Regmi</cp:lastModifiedBy>
  <dcterms:created xsi:type="dcterms:W3CDTF">2026-10-07T16:01:44Z</dcterms:created>
  <dcterms:modified xsi:type="dcterms:W3CDTF">2026-10-07T16:35:42Z</dcterms:modified>
</cp:coreProperties>
</file>