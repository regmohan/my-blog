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ecutive_Summary_Answers" sheetId="1" state="visible" r:id="rId1"/>
    <sheet name="Sales_Marketing_Analytics" sheetId="2" state="visible" r:id="rId2"/>
    <sheet name="Import_Costing_Margins" sheetId="3" state="visible" r:id="rId3"/>
    <sheet name="Receivables_Aging_Matrix" sheetId="4" state="visible" r:id="rId4"/>
    <sheet name="Cash_Flow_Projection" sheetId="5" state="visible" r:id="rId5"/>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Segoe UI"/>
      <b val="1"/>
      <color rgb="00FFFFFF"/>
      <sz val="16"/>
    </font>
    <font>
      <name val="Segoe UI"/>
      <i val="1"/>
      <color rgb="00E0E0E0"/>
      <sz val="10"/>
    </font>
    <font>
      <name val="Segoe UI"/>
      <b val="1"/>
      <color rgb="00000000"/>
      <sz val="10"/>
    </font>
    <font>
      <name val="Segoe UI"/>
      <color rgb="00000000"/>
      <sz val="10"/>
    </font>
    <font>
      <name val="Segoe UI"/>
      <b val="1"/>
      <color rgb="00FFFFFF"/>
      <sz val="10"/>
    </font>
    <font>
      <name val="Segoe UI"/>
      <b val="1"/>
      <color rgb="001F4E79"/>
      <sz val="10"/>
    </font>
    <font>
      <name val="Segoe UI"/>
      <b val="1"/>
      <color rgb="00006100"/>
      <sz val="10"/>
    </font>
    <font>
      <name val="Segoe UI"/>
      <b val="1"/>
      <color rgb="009C0006"/>
      <sz val="10"/>
    </font>
    <font>
      <name val="Segoe UI"/>
      <b val="1"/>
      <color rgb="009C6500"/>
      <sz val="10"/>
    </font>
  </fonts>
  <fills count="15">
    <fill>
      <patternFill/>
    </fill>
    <fill>
      <patternFill patternType="gray125"/>
    </fill>
    <fill>
      <patternFill patternType="solid">
        <fgColor rgb="001F4E79"/>
        <bgColor rgb="001F4E79"/>
      </patternFill>
    </fill>
    <fill>
      <patternFill patternType="solid">
        <fgColor rgb="002F5597"/>
        <bgColor rgb="002F5597"/>
      </patternFill>
    </fill>
    <fill>
      <patternFill patternType="solid">
        <fgColor rgb="00D9E1F2"/>
        <bgColor rgb="00D9E1F2"/>
      </patternFill>
    </fill>
    <fill>
      <patternFill patternType="solid">
        <fgColor rgb="00FFFFFF"/>
        <bgColor rgb="00FFFFFF"/>
      </patternFill>
    </fill>
    <fill>
      <patternFill patternType="solid">
        <fgColor rgb="00F2F5F9"/>
        <bgColor rgb="00F2F5F9"/>
      </patternFill>
    </fill>
    <fill>
      <patternFill patternType="solid">
        <fgColor rgb="00B4C6E7"/>
        <bgColor rgb="00B4C6E7"/>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E9EEF4"/>
        <bgColor rgb="00E9EEF4"/>
      </patternFill>
    </fill>
    <fill>
      <patternFill patternType="solid">
        <fgColor rgb="00C00000"/>
        <bgColor rgb="00C00000"/>
      </patternFill>
    </fill>
    <fill>
      <patternFill patternType="solid">
        <fgColor rgb="002E7D32"/>
        <bgColor rgb="002E7D32"/>
      </patternFill>
    </fill>
    <fill>
      <patternFill patternType="solid">
        <fgColor rgb="00D5E8D4"/>
        <bgColor rgb="00D5E8D4"/>
      </patternFill>
    </fill>
  </fills>
  <borders count="3">
    <border>
      <left/>
      <right/>
      <top/>
      <bottom/>
      <diagonal/>
    </border>
    <border>
      <left style="thin">
        <color rgb="00D3D3D3"/>
      </left>
      <right style="thin">
        <color rgb="00D3D3D3"/>
      </right>
      <top style="thin">
        <color rgb="00D3D3D3"/>
      </top>
      <bottom style="thin">
        <color rgb="00D3D3D3"/>
      </bottom>
    </border>
    <border>
      <top style="thin">
        <color rgb="001F4E79"/>
      </top>
      <bottom style="double">
        <color rgb="001F4E79"/>
      </bottom>
    </border>
  </borders>
  <cellStyleXfs count="1">
    <xf numFmtId="0" fontId="0" fillId="0" borderId="0"/>
  </cellStyleXfs>
  <cellXfs count="75">
    <xf numFmtId="0" fontId="0" fillId="0" borderId="0" pivotButton="0" quotePrefix="0" xfId="0"/>
    <xf numFmtId="0" fontId="1"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4" borderId="0" pivotButton="0" quotePrefix="0" xfId="0"/>
    <xf numFmtId="0" fontId="4" fillId="0" borderId="0" applyAlignment="1" pivotButton="0" quotePrefix="0" xfId="0">
      <alignment horizontal="left" vertical="center" wrapText="1"/>
    </xf>
    <xf numFmtId="0" fontId="5" fillId="2" borderId="0" applyAlignment="1" pivotButton="0" quotePrefix="0" xfId="0">
      <alignment horizontal="left" vertical="center" indent="1"/>
    </xf>
    <xf numFmtId="0" fontId="6" fillId="4" borderId="0" applyAlignment="1" pivotButton="0" quotePrefix="0" xfId="0">
      <alignment horizontal="left" vertical="center" wrapText="1" indent="1"/>
    </xf>
    <xf numFmtId="0" fontId="4" fillId="0" borderId="1" applyAlignment="1" pivotButton="0" quotePrefix="0" xfId="0">
      <alignment horizontal="left" vertical="top" wrapText="1" indent="1"/>
    </xf>
    <xf numFmtId="0" fontId="0" fillId="0" borderId="1" pivotButton="0" quotePrefix="0" xfId="0"/>
    <xf numFmtId="0" fontId="5" fillId="2" borderId="1" applyAlignment="1" pivotButton="0" quotePrefix="0" xfId="0">
      <alignment horizontal="center" vertical="center" wrapText="1"/>
    </xf>
    <xf numFmtId="0" fontId="4" fillId="5" borderId="1" applyAlignment="1" pivotButton="0" quotePrefix="0" xfId="0">
      <alignment horizontal="center" vertical="center"/>
    </xf>
    <xf numFmtId="3" fontId="4" fillId="5" borderId="1" applyAlignment="1" pivotButton="0" quotePrefix="0" xfId="0">
      <alignment horizontal="right" vertical="center"/>
    </xf>
    <xf numFmtId="4" fontId="4" fillId="5" borderId="1" applyAlignment="1" pivotButton="0" quotePrefix="0" xfId="0">
      <alignment horizontal="right" vertical="center"/>
    </xf>
    <xf numFmtId="164" fontId="4" fillId="5" borderId="1" applyAlignment="1" pivotButton="0" quotePrefix="0" xfId="0">
      <alignment horizontal="right" vertical="center"/>
    </xf>
    <xf numFmtId="165" fontId="4" fillId="5" borderId="1" applyAlignment="1" pivotButton="0" quotePrefix="0" xfId="0">
      <alignment horizontal="right" vertical="center"/>
    </xf>
    <xf numFmtId="166" fontId="4" fillId="5" borderId="1" applyAlignment="1" pivotButton="0" quotePrefix="0" xfId="0">
      <alignment horizontal="right" vertical="center"/>
    </xf>
    <xf numFmtId="0" fontId="4" fillId="6" borderId="1" applyAlignment="1" pivotButton="0" quotePrefix="0" xfId="0">
      <alignment horizontal="center" vertical="center"/>
    </xf>
    <xf numFmtId="3" fontId="4" fillId="6" borderId="1" applyAlignment="1" pivotButton="0" quotePrefix="0" xfId="0">
      <alignment horizontal="right" vertical="center"/>
    </xf>
    <xf numFmtId="4" fontId="4" fillId="6" borderId="1" applyAlignment="1" pivotButton="0" quotePrefix="0" xfId="0">
      <alignment horizontal="right" vertical="center"/>
    </xf>
    <xf numFmtId="164" fontId="4" fillId="6" borderId="1" applyAlignment="1" pivotButton="0" quotePrefix="0" xfId="0">
      <alignment horizontal="right" vertical="center"/>
    </xf>
    <xf numFmtId="165" fontId="4" fillId="6" borderId="1" applyAlignment="1" pivotButton="0" quotePrefix="0" xfId="0">
      <alignment horizontal="right" vertical="center"/>
    </xf>
    <xf numFmtId="166" fontId="4" fillId="6" borderId="1" applyAlignment="1" pivotButton="0" quotePrefix="0" xfId="0">
      <alignment horizontal="right" vertical="center"/>
    </xf>
    <xf numFmtId="0" fontId="3" fillId="7" borderId="2" applyAlignment="1" pivotButton="0" quotePrefix="0" xfId="0">
      <alignment horizontal="center" vertical="center"/>
    </xf>
    <xf numFmtId="3" fontId="3" fillId="7" borderId="2" pivotButton="0" quotePrefix="0" xfId="0"/>
    <xf numFmtId="4" fontId="3" fillId="7" borderId="2" pivotButton="0" quotePrefix="0" xfId="0"/>
    <xf numFmtId="164" fontId="3" fillId="7" borderId="2" pivotButton="0" quotePrefix="0" xfId="0"/>
    <xf numFmtId="165" fontId="3" fillId="7" borderId="2" pivotButton="0" quotePrefix="0" xfId="0"/>
    <xf numFmtId="166" fontId="3" fillId="7" borderId="2" pivotButton="0" quotePrefix="0" xfId="0"/>
    <xf numFmtId="0" fontId="5" fillId="3" borderId="0" pivotButton="0" quotePrefix="0" xfId="0"/>
    <xf numFmtId="0" fontId="6" fillId="4" borderId="1" applyAlignment="1" pivotButton="0" quotePrefix="0" xfId="0">
      <alignment horizontal="center" vertical="center"/>
    </xf>
    <xf numFmtId="0" fontId="4" fillId="0" borderId="1" pivotButton="0" quotePrefix="0" xfId="0"/>
    <xf numFmtId="3" fontId="3" fillId="0" borderId="1" applyAlignment="1" pivotButton="0" quotePrefix="0" xfId="0">
      <alignment horizontal="right" vertical="center"/>
    </xf>
    <xf numFmtId="164" fontId="3" fillId="0" borderId="1" applyAlignment="1" pivotButton="0" quotePrefix="0" xfId="0">
      <alignment horizontal="right" vertical="center"/>
    </xf>
    <xf numFmtId="0" fontId="7" fillId="8" borderId="1" applyAlignment="1" pivotButton="0" quotePrefix="0" xfId="0">
      <alignment horizontal="left" vertical="center"/>
    </xf>
    <xf numFmtId="4" fontId="3" fillId="0" borderId="1" applyAlignment="1" pivotButton="0" quotePrefix="0" xfId="0">
      <alignment horizontal="right" vertical="center"/>
    </xf>
    <xf numFmtId="0" fontId="8" fillId="9" borderId="1" applyAlignment="1" pivotButton="0" quotePrefix="0" xfId="0">
      <alignment horizontal="left" vertical="center"/>
    </xf>
    <xf numFmtId="165" fontId="3" fillId="0" borderId="1" applyAlignment="1" pivotButton="0" quotePrefix="0" xfId="0">
      <alignment horizontal="right" vertical="center"/>
    </xf>
    <xf numFmtId="0" fontId="9" fillId="10" borderId="1" applyAlignment="1" pivotButton="0" quotePrefix="0" xfId="0">
      <alignment horizontal="left" vertical="center"/>
    </xf>
    <xf numFmtId="0" fontId="5" fillId="3" borderId="1" applyAlignment="1" pivotButton="0" quotePrefix="0" xfId="0">
      <alignment horizontal="center" vertical="center" wrapText="1"/>
    </xf>
    <xf numFmtId="10" fontId="4" fillId="6" borderId="1" applyAlignment="1" pivotButton="0" quotePrefix="0" xfId="0">
      <alignment horizontal="right" vertical="center"/>
    </xf>
    <xf numFmtId="10" fontId="4" fillId="5" borderId="1" applyAlignment="1" pivotButton="0" quotePrefix="0" xfId="0">
      <alignment horizontal="right" vertical="center"/>
    </xf>
    <xf numFmtId="0" fontId="6" fillId="4" borderId="1" applyAlignment="1" pivotButton="0" quotePrefix="0" xfId="0">
      <alignment horizontal="center" vertical="center" wrapText="1"/>
    </xf>
    <xf numFmtId="0" fontId="8" fillId="9" borderId="0" applyAlignment="1" pivotButton="0" quotePrefix="0" xfId="0">
      <alignment horizontal="center" vertical="center"/>
    </xf>
    <xf numFmtId="0" fontId="9" fillId="10" borderId="0" applyAlignment="1" pivotButton="0" quotePrefix="0" xfId="0">
      <alignment horizontal="center" vertical="center"/>
    </xf>
    <xf numFmtId="0" fontId="7" fillId="8" borderId="0" applyAlignment="1" pivotButton="0" quotePrefix="0" xfId="0">
      <alignment horizontal="center" vertical="center"/>
    </xf>
    <xf numFmtId="0" fontId="4" fillId="11" borderId="1" applyAlignment="1" pivotButton="0" quotePrefix="0" xfId="0">
      <alignment horizontal="left" vertical="top" wrapText="1" indent="1"/>
    </xf>
    <xf numFmtId="0" fontId="0" fillId="5" borderId="1" applyAlignment="1" pivotButton="0" quotePrefix="0" xfId="0">
      <alignment horizontal="left" vertical="center"/>
    </xf>
    <xf numFmtId="0" fontId="8" fillId="9" borderId="1" applyAlignment="1" pivotButton="0" quotePrefix="0" xfId="0">
      <alignment horizontal="center" vertical="center"/>
    </xf>
    <xf numFmtId="0" fontId="0" fillId="6" borderId="1" applyAlignment="1" pivotButton="0" quotePrefix="0" xfId="0">
      <alignment horizontal="left" vertical="center"/>
    </xf>
    <xf numFmtId="0" fontId="9" fillId="10" borderId="1" applyAlignment="1" pivotButton="0" quotePrefix="0" xfId="0">
      <alignment horizontal="center" vertical="center"/>
    </xf>
    <xf numFmtId="0" fontId="7" fillId="8" borderId="1" applyAlignment="1" pivotButton="0" quotePrefix="0" xfId="0">
      <alignment horizontal="center" vertical="center"/>
    </xf>
    <xf numFmtId="0" fontId="0" fillId="0" borderId="1" applyAlignment="1" pivotButton="0" quotePrefix="0" xfId="0">
      <alignment horizontal="left" vertical="center"/>
    </xf>
    <xf numFmtId="0" fontId="3" fillId="7" borderId="2" pivotButton="0" quotePrefix="0" xfId="0"/>
    <xf numFmtId="4" fontId="3" fillId="7" borderId="2" applyAlignment="1" pivotButton="0" quotePrefix="0" xfId="0">
      <alignment horizontal="right" vertical="center"/>
    </xf>
    <xf numFmtId="166" fontId="3" fillId="7" borderId="2" applyAlignment="1" pivotButton="0" quotePrefix="0" xfId="0">
      <alignment horizontal="right" vertical="center"/>
    </xf>
    <xf numFmtId="164" fontId="3" fillId="7" borderId="2" applyAlignment="1" pivotButton="0" quotePrefix="0" xfId="0">
      <alignment horizontal="right" vertical="center"/>
    </xf>
    <xf numFmtId="0" fontId="5" fillId="2" borderId="0" pivotButton="0" quotePrefix="0" xfId="0"/>
    <xf numFmtId="0" fontId="3" fillId="0" borderId="1" pivotButton="0" quotePrefix="0" xfId="0"/>
    <xf numFmtId="3" fontId="3" fillId="7" borderId="2" applyAlignment="1" pivotButton="0" quotePrefix="0" xfId="0">
      <alignment horizontal="right" vertical="center"/>
    </xf>
    <xf numFmtId="0" fontId="3" fillId="4" borderId="1" pivotButton="0" quotePrefix="0" xfId="0"/>
    <xf numFmtId="0" fontId="0" fillId="4" borderId="1" pivotButton="0" quotePrefix="0" xfId="0"/>
    <xf numFmtId="0" fontId="5" fillId="12" borderId="0" pivotButton="0" quotePrefix="0" xfId="0"/>
    <xf numFmtId="0" fontId="6" fillId="4" borderId="1" pivotButton="0" quotePrefix="0" xfId="0"/>
    <xf numFmtId="3" fontId="0" fillId="0" borderId="1" applyAlignment="1" pivotButton="0" quotePrefix="0" xfId="0">
      <alignment horizontal="right" vertical="center"/>
    </xf>
    <xf numFmtId="4" fontId="0" fillId="0" borderId="1" applyAlignment="1" pivotButton="0" quotePrefix="0" xfId="0">
      <alignment horizontal="right" vertical="center"/>
    </xf>
    <xf numFmtId="4" fontId="3" fillId="4" borderId="1" applyAlignment="1" pivotButton="0" quotePrefix="0" xfId="0">
      <alignment horizontal="right" vertical="center"/>
    </xf>
    <xf numFmtId="0" fontId="8" fillId="10" borderId="1" pivotButton="0" quotePrefix="0" xfId="0"/>
    <xf numFmtId="4" fontId="8" fillId="10" borderId="1" applyAlignment="1" pivotButton="0" quotePrefix="0" xfId="0">
      <alignment horizontal="right" vertical="center"/>
    </xf>
    <xf numFmtId="0" fontId="8" fillId="9" borderId="1" pivotButton="0" quotePrefix="0" xfId="0"/>
    <xf numFmtId="4" fontId="8" fillId="9" borderId="1" applyAlignment="1" pivotButton="0" quotePrefix="0" xfId="0">
      <alignment horizontal="right" vertical="center"/>
    </xf>
    <xf numFmtId="0" fontId="5" fillId="13" borderId="0" pivotButton="0" quotePrefix="0" xfId="0"/>
    <xf numFmtId="0" fontId="7" fillId="8" borderId="1" pivotButton="0" quotePrefix="0" xfId="0"/>
    <xf numFmtId="4" fontId="7" fillId="8" borderId="1" applyAlignment="1" pivotButton="0" quotePrefix="0" xfId="0">
      <alignment horizontal="right" vertical="center"/>
    </xf>
    <xf numFmtId="0" fontId="7" fillId="14" borderId="1" pivotButton="0" quotePrefix="0" xfId="0"/>
    <xf numFmtId="4" fontId="7" fillId="1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style val="10"/>
  <chart>
    <title>
      <tx>
        <rich>
          <a:bodyPr/>
          <a:p>
            <a:pPr>
              <a:defRPr/>
            </a:pPr>
            <a:r>
              <a:t>Monthly Sales Value vs Outstanding Receivables (NPR Cr.)</a:t>
            </a:r>
          </a:p>
        </rich>
      </tx>
    </title>
    <plotArea>
      <barChart>
        <barDir val="col"/>
        <grouping val="clustered"/>
        <ser>
          <idx val="0"/>
          <order val="0"/>
          <tx>
            <strRef>
              <f>'Sales_Marketing_Analytics'!Q4</f>
            </strRef>
          </tx>
          <spPr>
            <a:ln>
              <a:prstDash val="solid"/>
            </a:ln>
          </spPr>
          <cat>
            <numRef>
              <f>'Sales_Marketing_Analytics'!$P$5:$P$10</f>
            </numRef>
          </cat>
          <val>
            <numRef>
              <f>'Sales_Marketing_Analytics'!$Q$5:$Q$10</f>
            </numRef>
          </val>
        </ser>
        <ser>
          <idx val="1"/>
          <order val="1"/>
          <tx>
            <strRef>
              <f>'Sales_Marketing_Analytics'!R4</f>
            </strRef>
          </tx>
          <spPr>
            <a:ln>
              <a:prstDash val="solid"/>
            </a:ln>
          </spPr>
          <cat>
            <numRef>
              <f>'Sales_Marketing_Analytics'!$P$5:$P$10</f>
            </numRef>
          </cat>
          <val>
            <numRef>
              <f>'Sales_Marketing_Analytics'!$R$5:$R$10</f>
            </numRef>
          </val>
        </ser>
        <gapWidth val="150"/>
        <axId val="10"/>
        <axId val="100"/>
      </bar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NPR Crores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3"/>
  <chart>
    <title>
      <tx>
        <rich>
          <a:bodyPr/>
          <a:p>
            <a:pPr>
              <a:defRPr/>
            </a:pPr>
            <a:r>
              <a:t>Marketing Lead Quality &amp; Conversion Rate Trend (%)</a:t>
            </a:r>
          </a:p>
        </rich>
      </tx>
    </title>
    <plotArea>
      <lineChart>
        <grouping val="standard"/>
        <ser>
          <idx val="0"/>
          <order val="0"/>
          <tx>
            <strRef>
              <f>'Sales_Marketing_Analytics'!Q13</f>
            </strRef>
          </tx>
          <spPr>
            <a:ln>
              <a:prstDash val="solid"/>
            </a:ln>
          </spPr>
          <marker>
            <symbol val="none"/>
            <spPr>
              <a:ln>
                <a:prstDash val="solid"/>
              </a:ln>
            </spPr>
          </marker>
          <cat>
            <numRef>
              <f>'Sales_Marketing_Analytics'!$P$14:$P$19</f>
            </numRef>
          </cat>
          <val>
            <numRef>
              <f>'Sales_Marketing_Analytics'!$Q$14:$Q$19</f>
            </numRef>
          </val>
        </ser>
        <ser>
          <idx val="1"/>
          <order val="1"/>
          <tx>
            <strRef>
              <f>'Sales_Marketing_Analytics'!R13</f>
            </strRef>
          </tx>
          <spPr>
            <a:ln>
              <a:prstDash val="solid"/>
            </a:ln>
          </spPr>
          <marker>
            <symbol val="none"/>
            <spPr>
              <a:ln>
                <a:prstDash val="solid"/>
              </a:ln>
            </spPr>
          </marker>
          <cat>
            <numRef>
              <f>'Sales_Marketing_Analytics'!$P$14:$P$19</f>
            </numRef>
          </cat>
          <val>
            <numRef>
              <f>'Sales_Marketing_Analytics'!$R$14:$R$19</f>
            </numRef>
          </val>
        </ser>
        <axId val="10"/>
        <axId val="100"/>
      </lineChart>
      <catAx>
        <axId val="10"/>
        <scaling>
          <orientation val="minMax"/>
        </scaling>
        <axPos val="l"/>
        <title>
          <tx>
            <rich>
              <a:bodyPr/>
              <a:p>
                <a:pPr>
                  <a:defRPr/>
                </a:pPr>
                <a:r>
                  <a:t>Month</a:t>
                </a:r>
              </a:p>
            </rich>
          </tx>
        </title>
        <majorTickMark val="none"/>
        <minorTickMark val="none"/>
        <crossAx val="100"/>
        <lblOffset val="100"/>
      </catAx>
      <valAx>
        <axId val="100"/>
        <scaling>
          <orientation val="minMax"/>
        </scaling>
        <axPos val="l"/>
        <majorGridlines/>
        <title>
          <tx>
            <rich>
              <a:bodyPr/>
              <a:p>
                <a:pPr>
                  <a:defRPr/>
                </a:pPr>
                <a:r>
                  <a:t>Percentage (%)</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13"/>
  <chart>
    <title>
      <tx>
        <rich>
          <a:bodyPr/>
          <a:p>
            <a:pPr>
              <a:defRPr/>
            </a:pPr>
            <a:r>
              <a:t>6-Month Projected Cumulative Cash Balance (NPR Cr.)</a:t>
            </a:r>
          </a:p>
        </rich>
      </tx>
    </title>
    <plotArea>
      <lineChart>
        <grouping val="standard"/>
        <ser>
          <idx val="0"/>
          <order val="0"/>
          <tx>
            <strRef>
              <f>'Cash_Flow_Projection'!K7</f>
            </strRef>
          </tx>
          <spPr>
            <a:ln>
              <a:prstDash val="solid"/>
            </a:ln>
          </spPr>
          <marker>
            <symbol val="none"/>
            <spPr>
              <a:ln>
                <a:prstDash val="solid"/>
              </a:ln>
            </spPr>
          </marker>
          <cat>
            <numRef>
              <f>'Cash_Flow_Projection'!$J$8:$J$13</f>
            </numRef>
          </cat>
          <val>
            <numRef>
              <f>'Cash_Flow_Projection'!$K$8:$K$13</f>
            </numRef>
          </val>
        </ser>
        <ser>
          <idx val="1"/>
          <order val="1"/>
          <tx>
            <strRef>
              <f>'Cash_Flow_Projection'!L7</f>
            </strRef>
          </tx>
          <spPr>
            <a:ln>
              <a:prstDash val="solid"/>
            </a:ln>
          </spPr>
          <marker>
            <symbol val="none"/>
            <spPr>
              <a:ln>
                <a:prstDash val="solid"/>
              </a:ln>
            </spPr>
          </marker>
          <cat>
            <numRef>
              <f>'Cash_Flow_Projection'!$J$8:$J$13</f>
            </numRef>
          </cat>
          <val>
            <numRef>
              <f>'Cash_Flow_Projection'!$L$8:$L$13</f>
            </numRef>
          </val>
        </ser>
        <axId val="10"/>
        <axId val="100"/>
      </lineChart>
      <catAx>
        <axId val="10"/>
        <scaling>
          <orientation val="minMax"/>
        </scaling>
        <axPos val="l"/>
        <title>
          <tx>
            <rich>
              <a:bodyPr/>
              <a:p>
                <a:pPr>
                  <a:defRPr/>
                </a:pPr>
                <a:r>
                  <a:t>Projection Month</a:t>
                </a:r>
              </a:p>
            </rich>
          </tx>
        </title>
        <majorTickMark val="none"/>
        <minorTickMark val="none"/>
        <crossAx val="100"/>
        <lblOffset val="100"/>
      </catAx>
      <valAx>
        <axId val="100"/>
        <scaling>
          <orientation val="minMax"/>
        </scaling>
        <axPos val="l"/>
        <majorGridlines/>
        <title>
          <tx>
            <rich>
              <a:bodyPr/>
              <a:p>
                <a:pPr>
                  <a:defRPr/>
                </a:pPr>
                <a:r>
                  <a:t>NPR Crores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_rels/drawing2.xml.rels><Relationships xmlns="http://schemas.openxmlformats.org/package/2006/relationships"><Relationship Type="http://schemas.openxmlformats.org/officeDocument/2006/relationships/chart" Target="/xl/charts/chart3.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12</row>
      <rowOff>0</rowOff>
    </from>
    <ext cx="5760000" cy="36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25</row>
      <rowOff>0</rowOff>
    </from>
    <ext cx="5760000" cy="3600000"/>
    <graphicFrame>
      <nvGraphicFramePr>
        <cNvPr id="2" name="Chart 2"/>
        <cNvGraphicFramePr/>
      </nvGraphicFramePr>
      <xfrm/>
      <a:graphic>
        <a:graphicData uri="http://schemas.openxmlformats.org/drawingml/2006/chart">
          <c:chart r:id="rId2"/>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9</col>
      <colOff>0</colOff>
      <row>14</row>
      <rowOff>0</rowOff>
    </from>
    <ext cx="540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5.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H43"/>
  <sheetViews>
    <sheetView showGridLines="1" workbookViewId="0">
      <selection activeCell="A1" sqref="A1"/>
    </sheetView>
  </sheetViews>
  <sheetFormatPr baseColWidth="8" defaultRowHeight="15"/>
  <cols>
    <col width="16" customWidth="1" min="1" max="1"/>
    <col width="18" customWidth="1" min="2" max="2"/>
    <col width="16" customWidth="1" min="3" max="3"/>
    <col width="18" customWidth="1" min="4" max="4"/>
    <col width="18" customWidth="1" min="5" max="5"/>
    <col width="16" customWidth="1" min="6" max="6"/>
    <col width="18" customWidth="1" min="7" max="7"/>
    <col width="18" customWidth="1" min="8" max="8"/>
  </cols>
  <sheetData>
    <row r="1" ht="40" customHeight="1">
      <c r="A1" s="1" t="inlineStr">
        <is>
          <t>AUTOMOTIVE COMMERCIAL &amp; FINANCIAL ASSESSMENT - CASE STUDY REPORT</t>
        </is>
      </c>
    </row>
    <row r="2" ht="22" customHeight="1">
      <c r="A2" s="2" t="inlineStr">
        <is>
          <t>Comprehensive Business Intelligence, Marketing Funnel, Unit Economics, Credit Risk &amp; Cash Flow Decision Model</t>
        </is>
      </c>
    </row>
    <row r="4">
      <c r="A4" s="3" t="inlineStr">
        <is>
          <t>EXECUTIVE TAKEAWAY 1: SALES ILLUSION</t>
        </is>
      </c>
      <c r="D4" s="3" t="inlineStr">
        <is>
          <t>EXECUTIVE TAKEAWAY 2: MARKETING FUNNEL</t>
        </is>
      </c>
      <c r="G4" s="3" t="inlineStr">
        <is>
          <t>EXECUTIVE TAKEAWAY 3: CASH CRISIS &amp; ACTION</t>
        </is>
      </c>
    </row>
    <row r="5">
      <c r="A5" s="4" t="inlineStr">
        <is>
          <t>Sales grew +147% (3.6 to 8.9 Cr), but Receivables surged +74% to 10.8 Cr. 121% of September revenue remains uncollected in total AR. Profit margins are being eroded by 5% discounts.</t>
        </is>
      </c>
      <c r="D5" s="4" t="inlineStr">
        <is>
          <t>Leads increased (+278%), but Lead Qualification fell from 38.9% to 25.0%. True conversion halved from 6.7% to 3.7%. Cost Per Qualified Lead jumped +15.3% to NPR 4,118.</t>
        </is>
      </c>
      <c r="G5" s="4" t="inlineStr">
        <is>
          <t>53.8% of outstanding debt is &gt;90 days overdue. Blind Option A causes insolvency; pure Option B causes stagnation. Recommendation: Phased Option A funded by recovering &gt;90d debtors.</t>
        </is>
      </c>
    </row>
    <row r="6"/>
    <row r="8" ht="25" customHeight="1">
      <c r="A8" s="5" t="inlineStr">
        <is>
          <t>SECTION 1: SALES &amp; BUSINESS PERFORMANCE</t>
        </is>
      </c>
    </row>
    <row r="9" ht="28" customHeight="1">
      <c r="A9" s="6" t="inlineStr">
        <is>
          <t>Question 1: Sales have increased significantly over the six-month period. Based on the data, would you consider this a healthy improvement in business performance? What concerns or questions would you raise?</t>
        </is>
      </c>
    </row>
    <row r="10" ht="112" customHeight="1">
      <c r="A10" s="7" t="inlineStr">
        <is>
          <t>VERDICT: NO, this is NOT a healthy improvement. It represents an 'unhealthy illusion of growth' driven by aggressive credit extension and margin dilution.
KEY CONCERNS RAISED:
1. Severe Receivables Accumulation: Outstanding receivables expanded from NPR 6.2 Cr in April to NPR 10.8 Cr in September (+74.2%, +NPR 4.60 Cr). Receivables (10.8 Cr) now exceed September's entire monthly sales (8.9 Cr). The company is acting as an uncollateralized bank for its buyers.
2. Margin Destruction via Rising Discounts: Average discounts escalated from 2.0% to 5.0% (a 150% surge). Automotive gross margins in this portfolio are only 6.41% to 8.72%. Giving a 5.0% discount wipes out 57% to 78% of gross profit, driving net contribution close to or below zero.
3. Deteriorating Marketing Quality: Marketing spend grew +180% (2.5L to 7.0L), but Lead Qualification Rate plunged from 38.9% down to 25.0%, and true conversion fell from 6.67% to 3.68%.
4. Working Capital Stranded: Importing vehicles requires upfront cash for LC, overseas freight, and Nepal customs duty. Selling them on loose credit without cash realization is creating an acute liquidity bottleneck.</t>
        </is>
      </c>
      <c r="B10" s="8" t="n"/>
      <c r="C10" s="8" t="n"/>
      <c r="D10" s="8" t="n"/>
      <c r="E10" s="8" t="n"/>
      <c r="F10" s="8" t="n"/>
      <c r="G10" s="8" t="n"/>
      <c r="H10" s="8" t="n"/>
    </row>
    <row r="12" ht="28" customHeight="1">
      <c r="A12" s="6" t="inlineStr">
        <is>
          <t>Question 2: What additional KPIs or information would you want to see before concluding that sales performance has improved?</t>
        </is>
      </c>
    </row>
    <row r="13" ht="112" customHeight="1">
      <c r="A13" s="7" t="inlineStr">
        <is>
          <t>ESSENTIAL KPIS &amp; DATA REQUIREMENTS:
1. Operating Cash Flow (OCF) &amp; Cash Inflow vs Outflow: Actual realized cash collections per month versus total import and operating disbursements.
2. Days Sales Outstanding (DSO) &amp; Collection Effectiveness Index (CEI): To evaluate how many days it takes to turn sales into liquid bank deposits.
3. Net Realized Margin per Unit: Revenue minus (Landed Cost + Discount + Sales Commission + LC Financing Interest + Yard Holding Costs).
4. Product-Wise Sales Mix: Exact sales volume breakdown by vehicle type (EV Van vs Truck vs Pickup vs Machinery) to confirm if profitable or margin-draining units are selling.
5. Customer Credit Limit Utilization &amp; Bad Debt Provision: Exposure levels per debtor and expected credit loss on accounts exceeding 90 days.
6. Inventory Holding Days &amp; Yard Demurrage: How long vehicles sit in transit, customs borders, or yard before customer handover.</t>
        </is>
      </c>
      <c r="B13" s="8" t="n"/>
      <c r="C13" s="8" t="n"/>
      <c r="D13" s="8" t="n"/>
      <c r="E13" s="8" t="n"/>
      <c r="F13" s="8" t="n"/>
      <c r="G13" s="8" t="n"/>
      <c r="H13" s="8" t="n"/>
    </row>
    <row r="15" ht="25" customHeight="1">
      <c r="A15" s="5" t="inlineStr">
        <is>
          <t>SECTION 2: MARKETING PERFORMANCE</t>
        </is>
      </c>
    </row>
    <row r="16" ht="28" customHeight="1">
      <c r="A16" s="6" t="inlineStr">
        <is>
          <t>Question 3: The marketing team says that performance has improved because leads increased from 180 in April to 680 in September. Do you agree that marketing performance has improved? Analyze the data and explain your reasoning.</t>
        </is>
      </c>
    </row>
    <row r="17" ht="128" customHeight="1">
      <c r="A17" s="7" t="inlineStr">
        <is>
          <t>VERDICT: NO, I STRONGLY DISAGREE. The marketing team is citing a superficial 'vanity metric'. Top-of-funnel volume expanded, but lead quality and commercial productivity collapsed.
DETAILED METRIC ANALYSIS:
1. Lead Qualification Rate Plunged: In April, 38.89% (70/180) of leads were qualified. By September, only 25.00% (170/680) qualified—a drop of 13.89 percentage points (a 35.7% relative decline). In September alone, 510 out of 680 leads were junk/unqualified, wasting substantial sales time.
2. True Lead-to-Sale Conversion Rate Halved: Dropped from 6.67% (12/180) in April to 3.68% (25/680) in September—a 44.8% decline in commercial efficiency.
3. Qualified Lead Conversion Decreased: Fell from 17.14% in April to 14.71% in September, despite offering 2.5x higher discounts (5% vs 2%).
4. Cost per Qualified Lead (CPQL) Rose: Increased from NPR 3,571 in April to NPR 4,118 in September (+15.3%), showing decreasing marketing efficiency.
CONCLUSION: Marketing is buying low-intent, unqualified traffic that burns operational overhead and distorts pipeline visibility.</t>
        </is>
      </c>
      <c r="B17" s="8" t="n"/>
      <c r="C17" s="8" t="n"/>
      <c r="D17" s="8" t="n"/>
      <c r="E17" s="8" t="n"/>
      <c r="F17" s="8" t="n"/>
      <c r="G17" s="8" t="n"/>
      <c r="H17" s="8" t="n"/>
    </row>
    <row r="19" ht="28" customHeight="1">
      <c r="A19" s="6" t="inlineStr">
        <is>
          <t>Question 4: What marketing KPIs would you calculate from this data, and which ones would you consider most important for management?</t>
        </is>
      </c>
    </row>
    <row r="20" ht="128" customHeight="1">
      <c r="A20" s="7" t="inlineStr">
        <is>
          <t>RECOMMENDED MARKETING KPIS:
1. Lead Qualification Rate (%): [Qualified Leads / Total Leads] -&gt; Measures marketing targeting accuracy.
2. Cost Per Qualified Lead (CPQL): [Marketing Spend / Qualified Leads] -&gt; Primary metric for marketing cost-efficiency.
3. Qualified Lead to Sale Conversion (%): [Units Sold / Qualified Leads] -&gt; Measures lead quality and sales closing capability.
4. Customer Acquisition Cost (CAC): [Marketing Spend / Units Sold] -&gt; Rose from NPR 20,833 to NPR 28,000 per unit (+34.4%).
5. Marketing Spend as % of Sales Value: Rose from 0.69% in April to 0.79% in September.
MOST IMPORTANT FOR MANAGEMENT: Cost Per Qualified Lead (CPQL) and Qualified Lead-to-Sale Conversion (%). These directly reflect pipeline profitability and prevent spending marketing budget on low-intent clicks.</t>
        </is>
      </c>
      <c r="B20" s="8" t="n"/>
      <c r="C20" s="8" t="n"/>
      <c r="D20" s="8" t="n"/>
      <c r="E20" s="8" t="n"/>
      <c r="F20" s="8" t="n"/>
      <c r="G20" s="8" t="n"/>
      <c r="H20" s="8" t="n"/>
    </row>
    <row r="22" ht="25" customHeight="1">
      <c r="A22" s="5" t="inlineStr">
        <is>
          <t>SECTION 3: IMPORT &amp; CUSTOMS</t>
        </is>
      </c>
    </row>
    <row r="23" ht="28" customHeight="1">
      <c r="A23" s="6" t="inlineStr">
        <is>
          <t>Question 5: Which vehicle appears to have the best margin based on the information provided? Would you make a final pricing decision using only this information? Why or why not?</t>
        </is>
      </c>
    </row>
    <row r="24" ht="208" customHeight="1">
      <c r="A24" s="7" t="inlineStr">
        <is>
          <t>ANALYSIS OF VEHICLE MARGINS:
- EV Van: Landed 36.5 L, SP 39.0 L -&gt; Margin = NPR 2.50 L | Gross Margin: 6.41% on SP | Markup: 6.85% on Cost
- Truck: Landed 45.5 L, SP 49.0 L -&gt; Margin = NPR 3.50 L | Gross Margin: 7.14% on SP | Markup: 7.69% on Cost
- Pickup: Landed 33.8 L, SP 37.0 L -&gt; Margin = NPR 3.20 L | Gross Margin: 8.65% on SP | Markup: 9.47% on Cost
- Machinery: Landed 39.25 L, SP 43.0 L -&gt; Margin = NPR 3.75 L | Gross Margin: 8.72% on SP | Markup: 9.55% on Cost
BEST MARGIN: MACHINERY delivers the highest absolute profit (NPR 3.75 Lakh) and the highest percentage margin (8.72% on SP, 9.55% markup). PICKUP is a close second with 8.65% gross margin.
CAN MANAGEMENT MAKE FINAL PRICING DECISIONS ON THIS DATA ALONE? NO.
Reasons:
1. Excludes Crucial Post-Landing Overheads: Excludes bank LC financing interest (8-12% p.a.), transit &amp; yard insurance, Pre-Delivery Inspection (PDI), warranty provisions, and showroom overhead.
2. Danger of Discount Cannibalization: The company's average discount is 5.0%. On an EV Van (6.41% margin), a 5% discount (NPR 1.95L) leaves just NPR 0.55L (1.4%), which immediately produces a net cash loss once holding costs are included!
3. Market Velocity / Turnover Differences: Machinery may have higher margin but take 120 days to sell, while Pickups might turn over in 30 days. Annualized Return on Capital (ROCE) must be evaluated.</t>
        </is>
      </c>
      <c r="B24" s="8" t="n"/>
      <c r="C24" s="8" t="n"/>
      <c r="D24" s="8" t="n"/>
      <c r="E24" s="8" t="n"/>
      <c r="F24" s="8" t="n"/>
      <c r="G24" s="8" t="n"/>
      <c r="H24" s="8" t="n"/>
    </row>
    <row r="26" ht="25" customHeight="1">
      <c r="A26" s="5" t="inlineStr">
        <is>
          <t>SECTION 3: IMPORT &amp; CUSTOMS (CONTD.)</t>
        </is>
      </c>
    </row>
    <row r="27" ht="28" customHeight="1">
      <c r="A27" s="6" t="inlineStr">
        <is>
          <t>Question 6: If management asks you to prepare a monthly landed-cost report for imported vehicles, what information would you include in it?</t>
        </is>
      </c>
    </row>
    <row r="28" ht="160" customHeight="1">
      <c r="A28" s="7" t="inlineStr">
        <is>
          <t>RECOMMENDED LANDED-COST REPORT STRUCTURE:
1. Batch &amp; Vehicle Identifiers: Model, VIN/Chassis No., Engine No., Customs Declaration (Pragyapan Patra) No., Letter of Credit (LC) Ref, Border Customs Point (Birgunj/Bhairahawa).
2. Granular Direct Cost Breakdown:
   - Factory Invoice / CIF Value (in USD/INR converted to NPR at realized exchange rate)
   - International Ocean &amp; Road Freight + Transit Marine Insurance
   - Nepal Customs Duties, Excise Duty, Infrastructure Cess, VAT, Clearing Agent (CHA) Fees
   - Demurrage / Border Detention Charges and Local Yard Inward Freight
3. Financing &amp; Carrying Costs: Bank LC issuance charges, LC usance/interest cost, and warehouse yard holding days.
4. Budget vs. Actual Variance Analysis: Tracking FX fluctuations, customs valuation adjustments, and freight rate variance.
5. Commercial Thresholds: Total Landed Cost, Target Net Margin %, Minimum Floor Selling Price (Absolute bottom price below which sales are banned), and Maximum Allowable Discount Cap.</t>
        </is>
      </c>
      <c r="B28" s="8" t="n"/>
      <c r="C28" s="8" t="n"/>
      <c r="D28" s="8" t="n"/>
      <c r="E28" s="8" t="n"/>
      <c r="F28" s="8" t="n"/>
      <c r="G28" s="8" t="n"/>
      <c r="H28" s="8" t="n"/>
    </row>
    <row r="30" ht="25" customHeight="1">
      <c r="A30" s="5" t="inlineStr">
        <is>
          <t>SECTION 4: COLLECTIONS</t>
        </is>
      </c>
    </row>
    <row r="31" ht="28" customHeight="1">
      <c r="A31" s="6" t="inlineStr">
        <is>
          <t>Question 7: Which customers or areas of the collection data would you prioritise for management attention? Explain your reasoning.</t>
        </is>
      </c>
    </row>
    <row r="32" ht="128" customHeight="1">
      <c r="A32" s="7" t="inlineStr">
        <is>
          <t>PRIORITIZATION ANALYSIS (Sample Total: 8.77 Cr Sales, 6.30 Cr Collected, 2.47 Cr Outstanding):
1. ABC Construction (TOP PRIORITY / CRITICAL): Outstanding is NPR 0.60 Cr (24.3% of total portfolio receivables). Aging is 115 DAYS. Uncollected ratio is 48.0%. Represents massive single-borrower concentration risk and severe delinquency. Immediate action: Stop all new supplies, convene executive-level recovery meeting, establish a binding payment plan, and issue formal legal recovery notice.
2. Terai Cargo (CRITICAL DEFAULT RISK): Aging is 128 DAYS (oldest delinquent account in company). Outstanding is NPR 0.24 Cr (34.8% uncollected). Highest risk of complete bad-debt write-off.
3. Everest Transport (HIGH PRIORITY): Aging is 102 DAYS. Outstanding is NPR 0.26 Cr (34.2% uncollected). Over 90-day overdue threshold.
4. Mid-West Logistics (HIGH PRIORITY): Aging is 94 DAYS. Outstanding is NPR 0.23 Cr (32.4% uncollected).
PORTFOLIO RISK SUMMARY: 53.8% of outstanding debt (NPR 1.33 Cr out of 2.47 Cr) is in the &gt;90 days overdue bucket! This is an alarming working-capital failure that threatens company solvency.</t>
        </is>
      </c>
      <c r="B32" s="8" t="n"/>
      <c r="C32" s="8" t="n"/>
      <c r="D32" s="8" t="n"/>
      <c r="E32" s="8" t="n"/>
      <c r="F32" s="8" t="n"/>
      <c r="G32" s="8" t="n"/>
      <c r="H32" s="8" t="n"/>
    </row>
    <row r="34" ht="28" customHeight="1">
      <c r="A34" s="6" t="inlineStr">
        <is>
          <t>Question 8: What KPIs or analysis would you build to help management improve collections and control receivables?</t>
        </is>
      </c>
    </row>
    <row r="35" ht="96" customHeight="1">
      <c r="A35" s="7" t="inlineStr">
        <is>
          <t>RECOMMENDED COLLECTION FRAMEWORK &amp; KPIS:
1. Days Sales Outstanding (DSO) by Customer &amp; Overall: Track rolling DSO to identify payment deterioration before default.
2. Ageing Bucket Distribution (% in 0-30, 31-60, 61-90, 90+ days): Real-time monitor with automated alert when 60+ days exceeds 15% of total AR.
3. Collection Effectiveness Index (CEI): Measures percentage of available receivables collected in a given month.
4. Credit Limit Utilization &amp; Delinquency Score: Hard credit limits set per customer. Automatic 'Stop Delivery / Freeze' in ERP if aging exceeds 45 days.
5. Sales Commission Realization Clawback: Restructure sales team incentives: 50% commission upon delivery, 50% upon full cash recovery. Deduct commission for accounts exceeding 90 days.</t>
        </is>
      </c>
      <c r="B35" s="8" t="n"/>
      <c r="C35" s="8" t="n"/>
      <c r="D35" s="8" t="n"/>
      <c r="E35" s="8" t="n"/>
      <c r="F35" s="8" t="n"/>
      <c r="G35" s="8" t="n"/>
      <c r="H35" s="8" t="n"/>
    </row>
    <row r="37" ht="25" customHeight="1">
      <c r="A37" s="5" t="inlineStr">
        <is>
          <t>SECTION 5: MANAGEMENT DECISION</t>
        </is>
      </c>
    </row>
    <row r="38" ht="28" customHeight="1">
      <c r="A38" s="6" t="inlineStr">
        <is>
          <t>Question 9: Based on the information available, what would you recommend? What additional information would you want before making the final decision?</t>
        </is>
      </c>
    </row>
    <row r="39" ht="176" customHeight="1">
      <c r="A39" s="7" t="inlineStr">
        <is>
          <t>STRATEGIC RECOMMENDATION: ADOPT A 'DISCIPLINED / PHASED OPTION A' (Selective Imports strictly funded by Collections Recovery) — REJECTING BLIND OPTION A AND REJECTING PURE OPTION B.
WHY PURE OPTION A IS FATAL: Importing 25 vehicles requires ~NPR 9.5-10 Cr upfront cash for factory invoices, shipping, and Nepal customs duty. With NPR 10.8 Cr trapped in receivables and available cash severely constrained, aggressive imports will trigger an immediate liquidity crisis (dishonored LCs, supplier default, bankruptcy).
WHY PURE OPTION B IS COUNTERPRODUCTIVE: Complete freeze on imports destroys commercial momentum, cedes market share to competitors, starves high-margin opportunities, and risks customer defection.
THE WINNING COMPROMISE (DISCIPLINED EXPANSION ROADMAP):
1. Cash-Gated Import Ordering: Tie monthly import LC issuance directly to cash collections from 60+ day receivables. Set a target to recover NPR 3.5 - 4.5 Cr within 60 days to self-fund import shipments.
2. Product-Mix Optimization: Prioritize imports of Machinery (8.72% margin) and Pickups (8.65% margin). Drastically restrict or suspend EV Vans (6.41% margin) until inventory and receivables normalize.
3. Commercial Policy Overhaul: Mandate 30-50% upfront down-payment upon booking, and balance payment via Bank Delivery Order (DO) prior to physical vehicle handover. End 100% open-credit vehicle handovers.
4. Discount Cap: Cap maximum allowable discount at 2.0% - 2.5%, halting the margin-destroying 5.0% discounts.</t>
        </is>
      </c>
      <c r="B39" s="8" t="n"/>
      <c r="C39" s="8" t="n"/>
      <c r="D39" s="8" t="n"/>
      <c r="E39" s="8" t="n"/>
      <c r="F39" s="8" t="n"/>
      <c r="G39" s="8" t="n"/>
      <c r="H39" s="8" t="n"/>
    </row>
    <row r="41" ht="25" customHeight="1">
      <c r="A41" s="5" t="inlineStr">
        <is>
          <t>SECTION 6: MIS &amp; DECISION-MAKING</t>
        </is>
      </c>
    </row>
    <row r="42" ht="28" customHeight="1">
      <c r="A42" s="6" t="inlineStr">
        <is>
          <t>Question 10: If you joined the company as MIS Officer / Data Analyst, what would be the first three analyses or reports you would build from this data, and why?</t>
        </is>
      </c>
    </row>
    <row r="43" ht="176" customHeight="1">
      <c r="A43" s="7" t="inlineStr">
        <is>
          <t>REPORT 1: 13-Week Rolling Cash Flow &amp; Liquidity Forecasting Model
- Purpose: Directly protect business solvency. Models daily/weekly cash inflows (collections from aging debtors) vs unavoidable cash outflows (LC retirement dates, customs duties, supplier invoices, marketing spend, fixed overheads).
- Why First: Solvency is priority #1. Management cannot make import or discount decisions without visibility into cash runways.
REPORT 2: Dynamic Accounts Receivable Aging &amp; Credit Control Dashboard (with Stop-Supply Triggers)
- Purpose: Segment all customer accounts by aging buckets (&lt;30, 31-60, 61-90, 90+ days), credit utilization %, and overdue exposure. Integrates an automated 'Red Flag / Supply Freeze' list for accounts like ABC Construction and Terai Cargo.
- Why Second: Immediate recovery of the NPR 1.33 Cr trapped in &gt;90 day accounts is the fastest way to inject liquidity into the business without expensive bank debt.
REPORT 3: Unit Economics &amp; Realized Contribution Margin Matrix (by Vehicle SKU &amp; Customer)
- Purpose: Tracks actual gross profit after discounts, financing holding cost, and dealer incentives. Identifies which vehicle models (e.g. Machinery vs EV Vans) generate true net operating cash flow.
- Why Third: Prevents sales and marketing teams from pursuing unprofitable volume growth that destroys company value.</t>
        </is>
      </c>
      <c r="B43" s="8" t="n"/>
      <c r="C43" s="8" t="n"/>
      <c r="D43" s="8" t="n"/>
      <c r="E43" s="8" t="n"/>
      <c r="F43" s="8" t="n"/>
      <c r="G43" s="8" t="n"/>
      <c r="H43" s="8" t="n"/>
    </row>
  </sheetData>
  <mergeCells count="35">
    <mergeCell ref="A9:H9"/>
    <mergeCell ref="A30:H30"/>
    <mergeCell ref="A39:H39"/>
    <mergeCell ref="A15:H15"/>
    <mergeCell ref="A24:H24"/>
    <mergeCell ref="A5:B6"/>
    <mergeCell ref="G5:H6"/>
    <mergeCell ref="A1:H1"/>
    <mergeCell ref="A16:H16"/>
    <mergeCell ref="D5:E6"/>
    <mergeCell ref="A41:H41"/>
    <mergeCell ref="A37:H37"/>
    <mergeCell ref="A27:H27"/>
    <mergeCell ref="A12:H12"/>
    <mergeCell ref="A26:H26"/>
    <mergeCell ref="A2:H2"/>
    <mergeCell ref="A42:H42"/>
    <mergeCell ref="D4:E4"/>
    <mergeCell ref="A23:H23"/>
    <mergeCell ref="A32:H32"/>
    <mergeCell ref="A8:H8"/>
    <mergeCell ref="A22:H22"/>
    <mergeCell ref="A17:H17"/>
    <mergeCell ref="A4:B4"/>
    <mergeCell ref="G4:H4"/>
    <mergeCell ref="A35:H35"/>
    <mergeCell ref="A20:H20"/>
    <mergeCell ref="A38:H38"/>
    <mergeCell ref="A43:H43"/>
    <mergeCell ref="A10:H10"/>
    <mergeCell ref="A28:H28"/>
    <mergeCell ref="A13:H13"/>
    <mergeCell ref="A19:H19"/>
    <mergeCell ref="A31:H31"/>
    <mergeCell ref="A34:H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3"/>
  <sheetViews>
    <sheetView showGridLines="1" workbookViewId="0">
      <selection activeCell="A1" sqref="A1"/>
    </sheetView>
  </sheetViews>
  <sheetFormatPr baseColWidth="8" defaultRowHeight="15"/>
  <cols>
    <col width="14" customWidth="1" min="1" max="1"/>
    <col width="16" customWidth="1" min="2" max="2"/>
    <col width="18" customWidth="1" min="3" max="3"/>
    <col width="16" customWidth="1" min="4" max="4"/>
    <col width="20" customWidth="1" min="5" max="5"/>
    <col width="16" customWidth="1" min="6" max="6"/>
    <col width="16" customWidth="1" min="7" max="7"/>
    <col width="16" customWidth="1" min="8" max="8"/>
    <col width="20" customWidth="1" min="9" max="9"/>
    <col width="16" customWidth="1" min="10" max="10"/>
    <col width="16" customWidth="1" min="11" max="11"/>
    <col width="16" customWidth="1" min="12" max="12"/>
    <col width="20" customWidth="1" min="13" max="13"/>
    <col width="18" customWidth="1" min="14" max="14"/>
  </cols>
  <sheetData>
    <row r="1" ht="35" customHeight="1">
      <c r="A1" s="1" t="inlineStr">
        <is>
          <t>HISTORICAL SALES, MARKETING FUNNEL &amp; RECEIVABLES PERFORMANCE (APRIL - SEPTEMBER)</t>
        </is>
      </c>
    </row>
    <row r="2" ht="20" customHeight="1">
      <c r="A2" s="2" t="inlineStr">
        <is>
          <t>Tracking Volume Growth, Lead Funnel Efficiency, Discount Escalation, and Receivables Acceleration</t>
        </is>
      </c>
    </row>
    <row r="4" ht="30" customHeight="1">
      <c r="A4" s="9" t="inlineStr">
        <is>
          <t>Month</t>
        </is>
      </c>
      <c r="B4" s="9" t="inlineStr">
        <is>
          <t>Units Sold</t>
        </is>
      </c>
      <c r="C4" s="9" t="inlineStr">
        <is>
          <t>Sales Value (NPR Cr.)</t>
        </is>
      </c>
      <c r="D4" s="9" t="inlineStr">
        <is>
          <t>Avg. Discount %</t>
        </is>
      </c>
      <c r="E4" s="9" t="inlineStr">
        <is>
          <t>Marketing Spend (NPR Lakh)</t>
        </is>
      </c>
      <c r="F4" s="9" t="inlineStr">
        <is>
          <t>Leads Generated</t>
        </is>
      </c>
      <c r="G4" s="9" t="inlineStr">
        <is>
          <t>Qualified Leads</t>
        </is>
      </c>
      <c r="H4" s="9" t="inlineStr">
        <is>
          <t>Receivables (NPR Cr.)</t>
        </is>
      </c>
      <c r="I4" s="9" t="inlineStr">
        <is>
          <t>Avg Selling Price / Unit (Lakh)</t>
        </is>
      </c>
      <c r="J4" s="9" t="inlineStr">
        <is>
          <t>Lead Qual. Rate %</t>
        </is>
      </c>
      <c r="K4" s="9" t="inlineStr">
        <is>
          <t>True Conv. Rate (Sales/Leads)</t>
        </is>
      </c>
      <c r="L4" s="9" t="inlineStr">
        <is>
          <t>Qual. Lead Conv. (Sales/QL)</t>
        </is>
      </c>
      <c r="M4" s="9" t="inlineStr">
        <is>
          <t>Cost Per Qual. Lead (NPR)</t>
        </is>
      </c>
      <c r="N4" s="9" t="inlineStr">
        <is>
          <t>Days Sales Outstanding (DSO)</t>
        </is>
      </c>
      <c r="P4" t="inlineStr">
        <is>
          <t>Month</t>
        </is>
      </c>
      <c r="Q4" t="inlineStr">
        <is>
          <t>Sales Value (Cr)</t>
        </is>
      </c>
      <c r="R4" t="inlineStr">
        <is>
          <t>Receivables (Cr)</t>
        </is>
      </c>
    </row>
    <row r="5" ht="22" customHeight="1">
      <c r="A5" s="10" t="inlineStr">
        <is>
          <t>April</t>
        </is>
      </c>
      <c r="B5" s="11" t="n">
        <v>12</v>
      </c>
      <c r="C5" s="12" t="n">
        <v>3.6</v>
      </c>
      <c r="D5" s="13" t="n">
        <v>0.02</v>
      </c>
      <c r="E5" s="14" t="n">
        <v>2.5</v>
      </c>
      <c r="F5" s="11" t="n">
        <v>180</v>
      </c>
      <c r="G5" s="11" t="n">
        <v>70</v>
      </c>
      <c r="H5" s="12" t="n">
        <v>6.2</v>
      </c>
      <c r="I5" s="12">
        <f>(C5*100)/B5</f>
        <v/>
      </c>
      <c r="J5" s="13">
        <f>G5/F5</f>
        <v/>
      </c>
      <c r="K5" s="13">
        <f>B5/F5</f>
        <v/>
      </c>
      <c r="L5" s="13">
        <f>B5/G5</f>
        <v/>
      </c>
      <c r="M5" s="11">
        <f>(E5*100000)/G5</f>
        <v/>
      </c>
      <c r="N5" s="15">
        <f>(H5/C5)*30</f>
        <v/>
      </c>
      <c r="P5">
        <f>A5</f>
        <v/>
      </c>
      <c r="Q5">
        <f>C5</f>
        <v/>
      </c>
      <c r="R5">
        <f>H5</f>
        <v/>
      </c>
    </row>
    <row r="6" ht="22" customHeight="1">
      <c r="A6" s="16" t="inlineStr">
        <is>
          <t>May</t>
        </is>
      </c>
      <c r="B6" s="17" t="n">
        <v>15</v>
      </c>
      <c r="C6" s="18" t="n">
        <v>4.8</v>
      </c>
      <c r="D6" s="19" t="n">
        <v>0.025</v>
      </c>
      <c r="E6" s="20" t="n">
        <v>3</v>
      </c>
      <c r="F6" s="17" t="n">
        <v>240</v>
      </c>
      <c r="G6" s="17" t="n">
        <v>90</v>
      </c>
      <c r="H6" s="18" t="n">
        <v>7</v>
      </c>
      <c r="I6" s="18">
        <f>(C6*100)/B6</f>
        <v/>
      </c>
      <c r="J6" s="19">
        <f>G6/F6</f>
        <v/>
      </c>
      <c r="K6" s="19">
        <f>B6/F6</f>
        <v/>
      </c>
      <c r="L6" s="19">
        <f>B6/G6</f>
        <v/>
      </c>
      <c r="M6" s="17">
        <f>(E6*100000)/G6</f>
        <v/>
      </c>
      <c r="N6" s="21">
        <f>(H6/C6)*30</f>
        <v/>
      </c>
      <c r="P6">
        <f>A6</f>
        <v/>
      </c>
      <c r="Q6">
        <f>C6</f>
        <v/>
      </c>
      <c r="R6">
        <f>H6</f>
        <v/>
      </c>
    </row>
    <row r="7" ht="22" customHeight="1">
      <c r="A7" s="10" t="inlineStr">
        <is>
          <t>June</t>
        </is>
      </c>
      <c r="B7" s="11" t="n">
        <v>18</v>
      </c>
      <c r="C7" s="12" t="n">
        <v>5.7</v>
      </c>
      <c r="D7" s="13" t="n">
        <v>0.03</v>
      </c>
      <c r="E7" s="14" t="n">
        <v>3.5</v>
      </c>
      <c r="F7" s="11" t="n">
        <v>310</v>
      </c>
      <c r="G7" s="11" t="n">
        <v>105</v>
      </c>
      <c r="H7" s="12" t="n">
        <v>7.8</v>
      </c>
      <c r="I7" s="12">
        <f>(C7*100)/B7</f>
        <v/>
      </c>
      <c r="J7" s="13">
        <f>G7/F7</f>
        <v/>
      </c>
      <c r="K7" s="13">
        <f>B7/F7</f>
        <v/>
      </c>
      <c r="L7" s="13">
        <f>B7/G7</f>
        <v/>
      </c>
      <c r="M7" s="11">
        <f>(E7*100000)/G7</f>
        <v/>
      </c>
      <c r="N7" s="15">
        <f>(H7/C7)*30</f>
        <v/>
      </c>
      <c r="P7">
        <f>A7</f>
        <v/>
      </c>
      <c r="Q7">
        <f>C7</f>
        <v/>
      </c>
      <c r="R7">
        <f>H7</f>
        <v/>
      </c>
    </row>
    <row r="8" ht="22" customHeight="1">
      <c r="A8" s="16" t="inlineStr">
        <is>
          <t>July</t>
        </is>
      </c>
      <c r="B8" s="17" t="n">
        <v>16</v>
      </c>
      <c r="C8" s="18" t="n">
        <v>5.2</v>
      </c>
      <c r="D8" s="19" t="n">
        <v>0.035</v>
      </c>
      <c r="E8" s="20" t="n">
        <v>4</v>
      </c>
      <c r="F8" s="17" t="n">
        <v>360</v>
      </c>
      <c r="G8" s="17" t="n">
        <v>110</v>
      </c>
      <c r="H8" s="18" t="n">
        <v>8.6</v>
      </c>
      <c r="I8" s="18">
        <f>(C8*100)/B8</f>
        <v/>
      </c>
      <c r="J8" s="19">
        <f>G8/F8</f>
        <v/>
      </c>
      <c r="K8" s="19">
        <f>B8/F8</f>
        <v/>
      </c>
      <c r="L8" s="19">
        <f>B8/G8</f>
        <v/>
      </c>
      <c r="M8" s="17">
        <f>(E8*100000)/G8</f>
        <v/>
      </c>
      <c r="N8" s="21">
        <f>(H8/C8)*30</f>
        <v/>
      </c>
      <c r="P8">
        <f>A8</f>
        <v/>
      </c>
      <c r="Q8">
        <f>C8</f>
        <v/>
      </c>
      <c r="R8">
        <f>H8</f>
        <v/>
      </c>
    </row>
    <row r="9" ht="22" customHeight="1">
      <c r="A9" s="10" t="inlineStr">
        <is>
          <t>August</t>
        </is>
      </c>
      <c r="B9" s="11" t="n">
        <v>22</v>
      </c>
      <c r="C9" s="12" t="n">
        <v>7.5</v>
      </c>
      <c r="D9" s="13" t="n">
        <v>0.045</v>
      </c>
      <c r="E9" s="14" t="n">
        <v>5.5</v>
      </c>
      <c r="F9" s="11" t="n">
        <v>520</v>
      </c>
      <c r="G9" s="11" t="n">
        <v>145</v>
      </c>
      <c r="H9" s="12" t="n">
        <v>9.699999999999999</v>
      </c>
      <c r="I9" s="12">
        <f>(C9*100)/B9</f>
        <v/>
      </c>
      <c r="J9" s="13">
        <f>G9/F9</f>
        <v/>
      </c>
      <c r="K9" s="13">
        <f>B9/F9</f>
        <v/>
      </c>
      <c r="L9" s="13">
        <f>B9/G9</f>
        <v/>
      </c>
      <c r="M9" s="11">
        <f>(E9*100000)/G9</f>
        <v/>
      </c>
      <c r="N9" s="15">
        <f>(H9/C9)*30</f>
        <v/>
      </c>
      <c r="P9">
        <f>A9</f>
        <v/>
      </c>
      <c r="Q9">
        <f>C9</f>
        <v/>
      </c>
      <c r="R9">
        <f>H9</f>
        <v/>
      </c>
    </row>
    <row r="10" ht="22" customHeight="1">
      <c r="A10" s="16" t="inlineStr">
        <is>
          <t>September</t>
        </is>
      </c>
      <c r="B10" s="17" t="n">
        <v>25</v>
      </c>
      <c r="C10" s="18" t="n">
        <v>8.9</v>
      </c>
      <c r="D10" s="19" t="n">
        <v>0.05</v>
      </c>
      <c r="E10" s="20" t="n">
        <v>7</v>
      </c>
      <c r="F10" s="17" t="n">
        <v>680</v>
      </c>
      <c r="G10" s="17" t="n">
        <v>170</v>
      </c>
      <c r="H10" s="18" t="n">
        <v>10.8</v>
      </c>
      <c r="I10" s="18">
        <f>(C10*100)/B10</f>
        <v/>
      </c>
      <c r="J10" s="19">
        <f>G10/F10</f>
        <v/>
      </c>
      <c r="K10" s="19">
        <f>B10/F10</f>
        <v/>
      </c>
      <c r="L10" s="19">
        <f>B10/G10</f>
        <v/>
      </c>
      <c r="M10" s="17">
        <f>(E10*100000)/G10</f>
        <v/>
      </c>
      <c r="N10" s="21">
        <f>(H10/C10)*30</f>
        <v/>
      </c>
      <c r="P10">
        <f>A10</f>
        <v/>
      </c>
      <c r="Q10">
        <f>C10</f>
        <v/>
      </c>
      <c r="R10">
        <f>H10</f>
        <v/>
      </c>
    </row>
    <row r="11" ht="24" customHeight="1">
      <c r="A11" s="22" t="inlineStr">
        <is>
          <t>Total / Avg</t>
        </is>
      </c>
      <c r="B11" s="23">
        <f>SUM(B5:B10)</f>
        <v/>
      </c>
      <c r="C11" s="24">
        <f>SUM(C5:C10)</f>
        <v/>
      </c>
      <c r="D11" s="25">
        <f>AVERAGE(D5:D10)</f>
        <v/>
      </c>
      <c r="E11" s="26">
        <f>SUM(E5:E10)</f>
        <v/>
      </c>
      <c r="F11" s="23">
        <f>SUM(F5:F10)</f>
        <v/>
      </c>
      <c r="G11" s="23">
        <f>SUM(G5:G10)</f>
        <v/>
      </c>
      <c r="H11" s="24">
        <f>AVERAGE(H5:H10)</f>
        <v/>
      </c>
      <c r="I11" s="24">
        <f>(C11*100)/B11</f>
        <v/>
      </c>
      <c r="J11" s="25">
        <f>G11/F11</f>
        <v/>
      </c>
      <c r="K11" s="25">
        <f>B11/F11</f>
        <v/>
      </c>
      <c r="L11" s="25">
        <f>B11/G11</f>
        <v/>
      </c>
      <c r="M11" s="23">
        <f>(E11*100000)/G11</f>
        <v/>
      </c>
      <c r="N11" s="27">
        <f>(H11/(C11/6))*30</f>
        <v/>
      </c>
    </row>
    <row r="13" ht="22" customHeight="1">
      <c r="A13" s="28" t="inlineStr">
        <is>
          <t>KEY PERFORMANCE VARIANCE &amp; FUNNEL TRAJECTORY (APRIL VS SEPTEMBER)</t>
        </is>
      </c>
      <c r="P13" t="inlineStr">
        <is>
          <t>Month</t>
        </is>
      </c>
      <c r="Q13" t="inlineStr">
        <is>
          <t>Lead Qual Rate %</t>
        </is>
      </c>
      <c r="R13" t="inlineStr">
        <is>
          <t>True Conv Rate %</t>
        </is>
      </c>
    </row>
    <row r="14" ht="20" customHeight="1">
      <c r="A14" s="29" t="inlineStr">
        <is>
          <t>Metric Description</t>
        </is>
      </c>
      <c r="B14" s="29" t="inlineStr">
        <is>
          <t>April Baseline</t>
        </is>
      </c>
      <c r="C14" s="29" t="inlineStr">
        <is>
          <t>September Exit</t>
        </is>
      </c>
      <c r="D14" s="29" t="inlineStr">
        <is>
          <t>Absolute Change</t>
        </is>
      </c>
      <c r="E14" s="29" t="inlineStr">
        <is>
          <t>% Change / Delta</t>
        </is>
      </c>
      <c r="F14" s="29" t="inlineStr">
        <is>
          <t>DA Health Assessment</t>
        </is>
      </c>
      <c r="P14">
        <f>A5</f>
        <v/>
      </c>
      <c r="Q14">
        <f>J5*100</f>
        <v/>
      </c>
      <c r="R14">
        <f>K5*100</f>
        <v/>
      </c>
    </row>
    <row r="15" ht="20" customHeight="1">
      <c r="A15" s="30" t="inlineStr">
        <is>
          <t>Units Sold</t>
        </is>
      </c>
      <c r="B15" s="31">
        <f>B5</f>
        <v/>
      </c>
      <c r="C15" s="31">
        <f>B10</f>
        <v/>
      </c>
      <c r="D15" s="31">
        <f>C15-B15</f>
        <v/>
      </c>
      <c r="E15" s="32">
        <f>(C15-B15)/B15</f>
        <v/>
      </c>
      <c r="F15" s="33" t="inlineStr">
        <is>
          <t>STRONG VOLUME EXPANSION (+108.3%)</t>
        </is>
      </c>
      <c r="P15">
        <f>A6</f>
        <v/>
      </c>
      <c r="Q15">
        <f>J6*100</f>
        <v/>
      </c>
      <c r="R15">
        <f>K6*100</f>
        <v/>
      </c>
    </row>
    <row r="16" ht="20" customHeight="1">
      <c r="A16" s="30" t="inlineStr">
        <is>
          <t>Sales Value (NPR Cr.)</t>
        </is>
      </c>
      <c r="B16" s="34">
        <f>C5</f>
        <v/>
      </c>
      <c r="C16" s="34">
        <f>C10</f>
        <v/>
      </c>
      <c r="D16" s="34">
        <f>C16-B16</f>
        <v/>
      </c>
      <c r="E16" s="32">
        <f>(C16-B16)/B16</f>
        <v/>
      </c>
      <c r="F16" s="33" t="inlineStr">
        <is>
          <t>AGGRESSIVE TOP-LINE EXPANSION (+147.2%)</t>
        </is>
      </c>
      <c r="P16">
        <f>A7</f>
        <v/>
      </c>
      <c r="Q16">
        <f>J7*100</f>
        <v/>
      </c>
      <c r="R16">
        <f>K7*100</f>
        <v/>
      </c>
    </row>
    <row r="17" ht="20" customHeight="1">
      <c r="A17" s="30" t="inlineStr">
        <is>
          <t>Average Discount %</t>
        </is>
      </c>
      <c r="B17" s="32">
        <f>D5</f>
        <v/>
      </c>
      <c r="C17" s="32">
        <f>D10</f>
        <v/>
      </c>
      <c r="D17" s="32">
        <f>C17-B17</f>
        <v/>
      </c>
      <c r="E17" s="32">
        <f>(C17-B17)/B17</f>
        <v/>
      </c>
      <c r="F17" s="35" t="inlineStr">
        <is>
          <t>SEVERE MARGIN RISK: 2.5x Increase (+150.0%)</t>
        </is>
      </c>
      <c r="P17">
        <f>A8</f>
        <v/>
      </c>
      <c r="Q17">
        <f>J8*100</f>
        <v/>
      </c>
      <c r="R17">
        <f>K8*100</f>
        <v/>
      </c>
    </row>
    <row r="18" ht="20" customHeight="1">
      <c r="A18" s="30" t="inlineStr">
        <is>
          <t>Marketing Spend (NPR Lakh)</t>
        </is>
      </c>
      <c r="B18" s="36">
        <f>E5</f>
        <v/>
      </c>
      <c r="C18" s="36">
        <f>E10</f>
        <v/>
      </c>
      <c r="D18" s="36">
        <f>C18-B18</f>
        <v/>
      </c>
      <c r="E18" s="32">
        <f>(C18-B18)/B18</f>
        <v/>
      </c>
      <c r="F18" s="37" t="inlineStr">
        <is>
          <t>EXPENSES SURGED FASTER THAN UNITS (+180.0%)</t>
        </is>
      </c>
      <c r="P18">
        <f>A9</f>
        <v/>
      </c>
      <c r="Q18">
        <f>J9*100</f>
        <v/>
      </c>
      <c r="R18">
        <f>K9*100</f>
        <v/>
      </c>
    </row>
    <row r="19" ht="20" customHeight="1">
      <c r="A19" s="30" t="inlineStr">
        <is>
          <t>Total Leads</t>
        </is>
      </c>
      <c r="B19" s="31">
        <f>F5</f>
        <v/>
      </c>
      <c r="C19" s="31">
        <f>F10</f>
        <v/>
      </c>
      <c r="D19" s="31">
        <f>C19-B19</f>
        <v/>
      </c>
      <c r="E19" s="32">
        <f>(C19-B19)/B19</f>
        <v/>
      </c>
      <c r="F19" s="33" t="inlineStr">
        <is>
          <t>TOP OF FUNNEL SURGE (+277.8%)</t>
        </is>
      </c>
      <c r="P19">
        <f>A10</f>
        <v/>
      </c>
      <c r="Q19">
        <f>J10*100</f>
        <v/>
      </c>
      <c r="R19">
        <f>K10*100</f>
        <v/>
      </c>
    </row>
    <row r="20" ht="20" customHeight="1">
      <c r="A20" s="30" t="inlineStr">
        <is>
          <t>Lead Qualification Rate %</t>
        </is>
      </c>
      <c r="B20" s="32">
        <f>J5</f>
        <v/>
      </c>
      <c r="C20" s="32">
        <f>J10</f>
        <v/>
      </c>
      <c r="D20" s="32">
        <f>C20-B20</f>
        <v/>
      </c>
      <c r="E20" s="32">
        <f>(C20-B20)/B20</f>
        <v/>
      </c>
      <c r="F20" s="35" t="inlineStr">
        <is>
          <t>QUALITY DILUTION: Dropped from 38.9% to 25.0%</t>
        </is>
      </c>
    </row>
    <row r="21" ht="20" customHeight="1">
      <c r="A21" s="30" t="inlineStr">
        <is>
          <t>True Lead Conversion %</t>
        </is>
      </c>
      <c r="B21" s="32">
        <f>K5</f>
        <v/>
      </c>
      <c r="C21" s="32">
        <f>K10</f>
        <v/>
      </c>
      <c r="D21" s="32">
        <f>C21-B21</f>
        <v/>
      </c>
      <c r="E21" s="32">
        <f>(C21-B21)/B21</f>
        <v/>
      </c>
      <c r="F21" s="35" t="inlineStr">
        <is>
          <t>EFFICIENCY CRUSHED: Halved from 6.7% to 3.7%</t>
        </is>
      </c>
    </row>
    <row r="22" ht="20" customHeight="1">
      <c r="A22" s="30" t="inlineStr">
        <is>
          <t>Cost Per Qualified Lead (NPR)</t>
        </is>
      </c>
      <c r="B22" s="31">
        <f>M5</f>
        <v/>
      </c>
      <c r="C22" s="31">
        <f>M10</f>
        <v/>
      </c>
      <c r="D22" s="31">
        <f>C22-B22</f>
        <v/>
      </c>
      <c r="E22" s="32">
        <f>(C22-B22)/B22</f>
        <v/>
      </c>
      <c r="F22" s="35" t="inlineStr">
        <is>
          <t>DECREASED MARKETING ROI: +15.3% Cost Per Lead</t>
        </is>
      </c>
    </row>
    <row r="23" ht="20" customHeight="1">
      <c r="A23" s="30" t="inlineStr">
        <is>
          <t>Receivables Outstanding (NPR Cr.)</t>
        </is>
      </c>
      <c r="B23" s="34">
        <f>H5</f>
        <v/>
      </c>
      <c r="C23" s="34">
        <f>H10</f>
        <v/>
      </c>
      <c r="D23" s="34">
        <f>C23-B23</f>
        <v/>
      </c>
      <c r="E23" s="32">
        <f>(C23-B23)/B23</f>
        <v/>
      </c>
      <c r="F23" s="35" t="inlineStr">
        <is>
          <t>WORKING CAPITAL TRAP: Surged +74.2% (+4.6 Cr)</t>
        </is>
      </c>
    </row>
  </sheetData>
  <mergeCells count="3">
    <mergeCell ref="A13:F13"/>
    <mergeCell ref="A2:N2"/>
    <mergeCell ref="A1:N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K24"/>
  <sheetViews>
    <sheetView showGridLines="1" workbookViewId="0">
      <selection activeCell="A1" sqref="A1"/>
    </sheetView>
  </sheetViews>
  <sheetFormatPr baseColWidth="8" defaultRowHeight="15"/>
  <cols>
    <col width="16" customWidth="1" min="1" max="1"/>
    <col width="18" customWidth="1" min="2" max="2"/>
    <col width="17" customWidth="1" min="3" max="3"/>
    <col width="17" customWidth="1" min="4" max="4"/>
    <col width="20" customWidth="1" min="5" max="5"/>
    <col width="20" customWidth="1" min="6" max="6"/>
    <col width="20" customWidth="1" min="7" max="7"/>
    <col width="18" customWidth="1" min="8" max="8"/>
    <col width="17" customWidth="1" min="9" max="9"/>
    <col width="18" customWidth="1" min="10" max="10"/>
    <col width="17" customWidth="1" min="11" max="11"/>
  </cols>
  <sheetData>
    <row r="1" ht="35" customHeight="1">
      <c r="A1" s="1" t="inlineStr">
        <is>
          <t>VEHICLE IMPORT COSTING, MARGIN ANALYSIS &amp; DISCOUNT SENSITIVITY MODEL</t>
        </is>
      </c>
    </row>
    <row r="2" ht="20" customHeight="1">
      <c r="A2" s="2" t="inlineStr">
        <is>
          <t>Evaluating Landed Costs, True Gross Margins, Markups, and the Severe Profit Cannibalization of Discounts</t>
        </is>
      </c>
    </row>
    <row r="4" ht="24" customHeight="1">
      <c r="A4" s="5" t="inlineStr">
        <is>
          <t>TABLE 1: IMPORT COST BREAKDOWN &amp; BASE MARGIN ANALYSIS</t>
        </is>
      </c>
    </row>
    <row r="5" ht="28" customHeight="1">
      <c r="A5" s="38" t="inlineStr">
        <is>
          <t>Vehicle Model</t>
        </is>
      </c>
      <c r="B5" s="38" t="inlineStr">
        <is>
          <t>Invoice Cost (Lakh)</t>
        </is>
      </c>
      <c r="C5" s="38" t="inlineStr">
        <is>
          <t>Freight (Lakh)</t>
        </is>
      </c>
      <c r="D5" s="38" t="inlineStr">
        <is>
          <t>Customs &amp; Taxes (Lakh)</t>
        </is>
      </c>
      <c r="E5" s="38" t="inlineStr">
        <is>
          <t>Clearing &amp; Other (Lakh)</t>
        </is>
      </c>
      <c r="F5" s="38" t="inlineStr">
        <is>
          <t>Total Landed Cost (Lakh)</t>
        </is>
      </c>
      <c r="G5" s="38" t="inlineStr">
        <is>
          <t>Proposed Selling Price (Lakh)</t>
        </is>
      </c>
      <c r="H5" s="38" t="inlineStr">
        <is>
          <t>Absolute Margin (Lakh)</t>
        </is>
      </c>
      <c r="I5" s="38" t="inlineStr">
        <is>
          <t>Markup on Landed Cost %</t>
        </is>
      </c>
      <c r="J5" s="38" t="inlineStr">
        <is>
          <t>Gross Margin on SP %</t>
        </is>
      </c>
      <c r="K5" s="38" t="inlineStr">
        <is>
          <t>Margin Rank</t>
        </is>
      </c>
    </row>
    <row r="6" ht="22" customHeight="1">
      <c r="A6" s="16" t="inlineStr">
        <is>
          <t>EV Van</t>
        </is>
      </c>
      <c r="B6" s="18" t="n">
        <v>28</v>
      </c>
      <c r="C6" s="18" t="n">
        <v>1.8</v>
      </c>
      <c r="D6" s="18" t="n">
        <v>5.5</v>
      </c>
      <c r="E6" s="18" t="n">
        <v>1.2</v>
      </c>
      <c r="F6" s="18">
        <f>SUM(B6:E6)</f>
        <v/>
      </c>
      <c r="G6" s="18" t="n">
        <v>39</v>
      </c>
      <c r="H6" s="18">
        <f>G6-F6</f>
        <v/>
      </c>
      <c r="I6" s="39">
        <f>H6/F6</f>
        <v/>
      </c>
      <c r="J6" s="39">
        <f>H6/G6</f>
        <v/>
      </c>
      <c r="K6" s="16">
        <f>RANK(J6,$J$6:$J$9)&amp;IF(RANK(J6,$J$6:$J$9)=1," (Best Margin)","")</f>
        <v/>
      </c>
    </row>
    <row r="7" ht="22" customHeight="1">
      <c r="A7" s="10" t="inlineStr">
        <is>
          <t>Truck</t>
        </is>
      </c>
      <c r="B7" s="12" t="n">
        <v>35</v>
      </c>
      <c r="C7" s="12" t="n">
        <v>2.2</v>
      </c>
      <c r="D7" s="12" t="n">
        <v>7</v>
      </c>
      <c r="E7" s="12" t="n">
        <v>1.3</v>
      </c>
      <c r="F7" s="12">
        <f>SUM(B7:E7)</f>
        <v/>
      </c>
      <c r="G7" s="12" t="n">
        <v>49</v>
      </c>
      <c r="H7" s="12">
        <f>G7-F7</f>
        <v/>
      </c>
      <c r="I7" s="40">
        <f>H7/F7</f>
        <v/>
      </c>
      <c r="J7" s="40">
        <f>H7/G7</f>
        <v/>
      </c>
      <c r="K7" s="10">
        <f>RANK(J7,$J$6:$J$9)&amp;IF(RANK(J7,$J$6:$J$9)=1," (Best Margin)","")</f>
        <v/>
      </c>
    </row>
    <row r="8" ht="22" customHeight="1">
      <c r="A8" s="16" t="inlineStr">
        <is>
          <t>Pickup</t>
        </is>
      </c>
      <c r="B8" s="18" t="n">
        <v>26</v>
      </c>
      <c r="C8" s="18" t="n">
        <v>1.7</v>
      </c>
      <c r="D8" s="18" t="n">
        <v>5</v>
      </c>
      <c r="E8" s="18" t="n">
        <v>1.1</v>
      </c>
      <c r="F8" s="18">
        <f>SUM(B8:E8)</f>
        <v/>
      </c>
      <c r="G8" s="18" t="n">
        <v>37</v>
      </c>
      <c r="H8" s="18">
        <f>G8-F8</f>
        <v/>
      </c>
      <c r="I8" s="39">
        <f>H8/F8</f>
        <v/>
      </c>
      <c r="J8" s="39">
        <f>H8/G8</f>
        <v/>
      </c>
      <c r="K8" s="16">
        <f>RANK(J8,$J$6:$J$9)&amp;IF(RANK(J8,$J$6:$J$9)=1," (Best Margin)","")</f>
        <v/>
      </c>
    </row>
    <row r="9" ht="22" customHeight="1">
      <c r="A9" s="10" t="inlineStr">
        <is>
          <t>Machinery</t>
        </is>
      </c>
      <c r="B9" s="12" t="n">
        <v>30</v>
      </c>
      <c r="C9" s="12" t="n">
        <v>2</v>
      </c>
      <c r="D9" s="12" t="n">
        <v>6</v>
      </c>
      <c r="E9" s="12" t="n">
        <v>1.25</v>
      </c>
      <c r="F9" s="12">
        <f>SUM(B9:E9)</f>
        <v/>
      </c>
      <c r="G9" s="12" t="n">
        <v>43</v>
      </c>
      <c r="H9" s="12">
        <f>G9-F9</f>
        <v/>
      </c>
      <c r="I9" s="40">
        <f>H9/F9</f>
        <v/>
      </c>
      <c r="J9" s="40">
        <f>H9/G9</f>
        <v/>
      </c>
      <c r="K9" s="10">
        <f>RANK(J9,$J$6:$J$9)&amp;IF(RANK(J9,$J$6:$J$9)=1," (Best Margin)","")</f>
        <v/>
      </c>
    </row>
    <row r="12" ht="24" customHeight="1">
      <c r="A12" s="5" t="inlineStr">
        <is>
          <t>TABLE 2: DISCOUNT EROSION SENSITIVITY MATRIX (HOW DISCOUNTS DESTROY MARGINS)</t>
        </is>
      </c>
    </row>
    <row r="13" ht="28" customHeight="1">
      <c r="A13" s="41" t="inlineStr">
        <is>
          <t>Vehicle Model</t>
        </is>
      </c>
      <c r="B13" s="41" t="inlineStr">
        <is>
          <t>Base Gross Margin (NPR L)</t>
        </is>
      </c>
      <c r="C13" s="41" t="inlineStr">
        <is>
          <t>Margin @ 2.0% Discount (April)</t>
        </is>
      </c>
      <c r="D13" s="41" t="inlineStr">
        <is>
          <t>Margin @ 3.0% Discount (June)</t>
        </is>
      </c>
      <c r="E13" s="41" t="inlineStr">
        <is>
          <t>Margin @ 5.0% Discount (Sept)</t>
        </is>
      </c>
      <c r="F13" s="41" t="inlineStr">
        <is>
          <t>Cash Profit Lost @ 5% (Lakh)</t>
        </is>
      </c>
      <c r="G13" s="41" t="inlineStr">
        <is>
          <t>Net Margin % @ 5% Discount</t>
        </is>
      </c>
      <c r="H13" s="41" t="inlineStr">
        <is>
          <t>Profit Destruction % @ 5%</t>
        </is>
      </c>
      <c r="I13" s="41" t="inlineStr">
        <is>
          <t>Max Breakeven Discount Cap</t>
        </is>
      </c>
      <c r="J13" s="41" t="inlineStr">
        <is>
          <t>Risk Level</t>
        </is>
      </c>
    </row>
    <row r="14" ht="22" customHeight="1">
      <c r="A14" s="16">
        <f>A6</f>
        <v/>
      </c>
      <c r="B14" s="18">
        <f>H6</f>
        <v/>
      </c>
      <c r="C14" s="18">
        <f>H6-(G6*0.02)</f>
        <v/>
      </c>
      <c r="D14" s="18">
        <f>H6-(G6*0.03)</f>
        <v/>
      </c>
      <c r="E14" s="18">
        <f>H6-(G6*0.05)</f>
        <v/>
      </c>
      <c r="F14" s="18">
        <f>G6*0.05</f>
        <v/>
      </c>
      <c r="G14" s="39">
        <f>E14/(G6*0.95)</f>
        <v/>
      </c>
      <c r="H14" s="19">
        <f>(B14-E14)/B14</f>
        <v/>
      </c>
      <c r="I14" s="39">
        <f>J6</f>
        <v/>
      </c>
      <c r="J14" s="42">
        <f>IF(G14&lt;0.02,"CRITICAL DANGER",IF(G14&lt;0.04,"HIGH RISK","MODERATE"))</f>
        <v/>
      </c>
    </row>
    <row r="15" ht="22" customHeight="1">
      <c r="A15" s="10">
        <f>A7</f>
        <v/>
      </c>
      <c r="B15" s="12">
        <f>H7</f>
        <v/>
      </c>
      <c r="C15" s="12">
        <f>H7-(G7*0.02)</f>
        <v/>
      </c>
      <c r="D15" s="12">
        <f>H7-(G7*0.03)</f>
        <v/>
      </c>
      <c r="E15" s="12">
        <f>H7-(G7*0.05)</f>
        <v/>
      </c>
      <c r="F15" s="12">
        <f>G7*0.05</f>
        <v/>
      </c>
      <c r="G15" s="40">
        <f>E15/(G7*0.95)</f>
        <v/>
      </c>
      <c r="H15" s="13">
        <f>(B15-E15)/B15</f>
        <v/>
      </c>
      <c r="I15" s="40">
        <f>J7</f>
        <v/>
      </c>
      <c r="J15" s="43">
        <f>IF(G15&lt;0.02,"CRITICAL DANGER",IF(G15&lt;0.04,"HIGH RISK","MODERATE"))</f>
        <v/>
      </c>
    </row>
    <row r="16" ht="22" customHeight="1">
      <c r="A16" s="16">
        <f>A8</f>
        <v/>
      </c>
      <c r="B16" s="18">
        <f>H8</f>
        <v/>
      </c>
      <c r="C16" s="18">
        <f>H8-(G8*0.02)</f>
        <v/>
      </c>
      <c r="D16" s="18">
        <f>H8-(G8*0.03)</f>
        <v/>
      </c>
      <c r="E16" s="18">
        <f>H8-(G8*0.05)</f>
        <v/>
      </c>
      <c r="F16" s="18">
        <f>G8*0.05</f>
        <v/>
      </c>
      <c r="G16" s="39">
        <f>E16/(G8*0.95)</f>
        <v/>
      </c>
      <c r="H16" s="19">
        <f>(B16-E16)/B16</f>
        <v/>
      </c>
      <c r="I16" s="39">
        <f>J8</f>
        <v/>
      </c>
      <c r="J16" s="44">
        <f>IF(G16&lt;0.02,"CRITICAL DANGER",IF(G16&lt;0.04,"HIGH RISK","MODERATE"))</f>
        <v/>
      </c>
    </row>
    <row r="17" ht="22" customHeight="1">
      <c r="A17" s="10">
        <f>A9</f>
        <v/>
      </c>
      <c r="B17" s="12">
        <f>H9</f>
        <v/>
      </c>
      <c r="C17" s="12">
        <f>H9-(G9*0.02)</f>
        <v/>
      </c>
      <c r="D17" s="12">
        <f>H9-(G9*0.03)</f>
        <v/>
      </c>
      <c r="E17" s="12">
        <f>H9-(G9*0.05)</f>
        <v/>
      </c>
      <c r="F17" s="12">
        <f>G9*0.05</f>
        <v/>
      </c>
      <c r="G17" s="40">
        <f>E17/(G9*0.95)</f>
        <v/>
      </c>
      <c r="H17" s="13">
        <f>(B17-E17)/B17</f>
        <v/>
      </c>
      <c r="I17" s="40">
        <f>J9</f>
        <v/>
      </c>
      <c r="J17" s="44">
        <f>IF(G17&lt;0.02,"CRITICAL DANGER",IF(G17&lt;0.04,"HIGH RISK","MODERATE"))</f>
        <v/>
      </c>
    </row>
    <row r="20">
      <c r="A20" s="45" t="inlineStr">
        <is>
          <t>CRITICAL DATA ANALYST FINDINGS ON PRICING &amp; DISCOUNTS:
1. EV Van Margin Collapse: EV Van has only a 6.41% base gross margin. At September's 5.0% average discount, net profit collapses from NPR 2.50 Lakh to just NPR 0.55 Lakh per vehicle—a staggering 78.0% loss in profit! Once bank interest and yard overhead are factored in, EV Vans sold at a 5% discount generate an outright operating loss.
2. Machinery &amp; Pickup Are the Profit Engines: Machinery (8.72% margin, NPR 3.75 Lakh) and Pickup (8.65% margin, NPR 3.20 Lakh) have the highest profit buffers. Even at 5% discount, they retain NPR 1.60L and NPR 1.35L in profit.
3. Management Action Required: Immediately establish a 'Hard Stop-Discount Policy'. Maximum allowable discount must be capped at 2.0% for EV Vans and 2.5% for other models. Sales reps must not be permitted to buy market volume by giving away company profits.</t>
        </is>
      </c>
      <c r="B20" s="8" t="n"/>
      <c r="C20" s="8" t="n"/>
      <c r="D20" s="8" t="n"/>
      <c r="E20" s="8" t="n"/>
      <c r="F20" s="8" t="n"/>
      <c r="G20" s="8" t="n"/>
      <c r="H20" s="8" t="n"/>
      <c r="I20" s="8" t="n"/>
      <c r="J20" s="8" t="n"/>
      <c r="K20" s="8" t="n"/>
    </row>
    <row r="21">
      <c r="A21" s="8" t="n"/>
      <c r="B21" s="8" t="n"/>
      <c r="C21" s="8" t="n"/>
      <c r="D21" s="8" t="n"/>
      <c r="E21" s="8" t="n"/>
      <c r="F21" s="8" t="n"/>
      <c r="G21" s="8" t="n"/>
      <c r="H21" s="8" t="n"/>
      <c r="I21" s="8" t="n"/>
      <c r="J21" s="8" t="n"/>
      <c r="K21" s="8" t="n"/>
    </row>
    <row r="22">
      <c r="A22" s="8" t="n"/>
      <c r="B22" s="8" t="n"/>
      <c r="C22" s="8" t="n"/>
      <c r="D22" s="8" t="n"/>
      <c r="E22" s="8" t="n"/>
      <c r="F22" s="8" t="n"/>
      <c r="G22" s="8" t="n"/>
      <c r="H22" s="8" t="n"/>
      <c r="I22" s="8" t="n"/>
      <c r="J22" s="8" t="n"/>
      <c r="K22" s="8" t="n"/>
    </row>
    <row r="23">
      <c r="A23" s="8" t="n"/>
      <c r="B23" s="8" t="n"/>
      <c r="C23" s="8" t="n"/>
      <c r="D23" s="8" t="n"/>
      <c r="E23" s="8" t="n"/>
      <c r="F23" s="8" t="n"/>
      <c r="G23" s="8" t="n"/>
      <c r="H23" s="8" t="n"/>
      <c r="I23" s="8" t="n"/>
      <c r="J23" s="8" t="n"/>
      <c r="K23" s="8" t="n"/>
    </row>
    <row r="24">
      <c r="A24" s="8" t="n"/>
      <c r="B24" s="8" t="n"/>
      <c r="C24" s="8" t="n"/>
      <c r="D24" s="8" t="n"/>
      <c r="E24" s="8" t="n"/>
      <c r="F24" s="8" t="n"/>
      <c r="G24" s="8" t="n"/>
      <c r="H24" s="8" t="n"/>
      <c r="I24" s="8" t="n"/>
      <c r="J24" s="8" t="n"/>
      <c r="K24" s="8" t="n"/>
    </row>
  </sheetData>
  <mergeCells count="5">
    <mergeCell ref="A12:K12"/>
    <mergeCell ref="A4:K4"/>
    <mergeCell ref="A2:K2"/>
    <mergeCell ref="A20:K24"/>
    <mergeCell ref="A1:K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3"/>
  <sheetViews>
    <sheetView showGridLines="1" workbookViewId="0">
      <selection activeCell="A1" sqref="A1"/>
    </sheetView>
  </sheetViews>
  <sheetFormatPr baseColWidth="8" defaultRowHeight="15"/>
  <cols>
    <col width="22" customWidth="1" min="1" max="1"/>
    <col width="17" customWidth="1" min="2" max="2"/>
    <col width="17" customWidth="1" min="3" max="3"/>
    <col width="17" customWidth="1" min="4" max="4"/>
    <col width="15" customWidth="1" min="5" max="5"/>
    <col width="17" customWidth="1" min="6" max="6"/>
    <col width="22" customWidth="1" min="7" max="7"/>
    <col width="20" customWidth="1" min="8" max="8"/>
    <col width="17" customWidth="1" min="9" max="9"/>
    <col width="30" customWidth="1" min="10" max="10"/>
  </cols>
  <sheetData>
    <row r="1" ht="35" customHeight="1">
      <c r="A1" s="1" t="inlineStr">
        <is>
          <t>ACCOUNTS RECEIVABLE AGING ANALYSIS &amp; CREDIT RISK PRIORITIZATION MATRIX</t>
        </is>
      </c>
    </row>
    <row r="2" ht="20" customHeight="1">
      <c r="A2" s="2" t="inlineStr">
        <is>
          <t>Customer-Level Delinquency, Aging Distribution, Credit Remaining %, and Action Prioritization</t>
        </is>
      </c>
    </row>
    <row r="4" ht="28" customHeight="1">
      <c r="A4" s="9" t="inlineStr">
        <is>
          <t>Customer Name</t>
        </is>
      </c>
      <c r="B4" s="9" t="inlineStr">
        <is>
          <t>Total Sales Value (Cr)</t>
        </is>
      </c>
      <c r="C4" s="9" t="inlineStr">
        <is>
          <t>Amount Collected (Cr)</t>
        </is>
      </c>
      <c r="D4" s="9" t="inlineStr">
        <is>
          <t>Outstanding AR (Cr)</t>
        </is>
      </c>
      <c r="E4" s="9" t="inlineStr">
        <is>
          <t>Ageing (Days)</t>
        </is>
      </c>
      <c r="F4" s="9" t="inlineStr">
        <is>
          <t>Collection % Realized</t>
        </is>
      </c>
      <c r="G4" s="9" t="inlineStr">
        <is>
          <t>Credit Remaining % (Uncollected)</t>
        </is>
      </c>
      <c r="H4" s="9" t="inlineStr">
        <is>
          <t>Aging Risk Category</t>
        </is>
      </c>
      <c r="I4" s="9" t="inlineStr">
        <is>
          <t>Portfolio AR Share %</t>
        </is>
      </c>
      <c r="J4" s="9" t="inlineStr">
        <is>
          <t>Recommended Management Action</t>
        </is>
      </c>
    </row>
    <row r="5" ht="22" customHeight="1">
      <c r="A5" s="46" t="inlineStr">
        <is>
          <t>ABC Construction</t>
        </is>
      </c>
      <c r="B5" s="12" t="n">
        <v>1.25</v>
      </c>
      <c r="C5" s="12" t="n">
        <v>0.65</v>
      </c>
      <c r="D5" s="12" t="n">
        <v>0.6</v>
      </c>
      <c r="E5" s="11" t="n">
        <v>115</v>
      </c>
      <c r="F5" s="13">
        <f>C5/B5</f>
        <v/>
      </c>
      <c r="G5" s="13">
        <f>D5/B5</f>
        <v/>
      </c>
      <c r="H5" s="47">
        <f>IF(E5&gt;90,"CRITICAL (&gt;90d)",IF(E5&gt;60,"HIGH (61-90d)",IF(E5&gt;30,"MODERATE (31-60d)","LOW (&lt;=30d)"))</f>
        <v/>
      </c>
      <c r="I5" s="13">
        <f>D5/$D$15</f>
        <v/>
      </c>
      <c r="J5" s="35">
        <f>IF(E5&gt;110,"STOP SUPPLY + LEGAL NOTICE",IF(E5&gt;90,"URGENT ESCALATION + FREEZE",IF(E5&gt;60,"INTENSIVE DAILY FOLLOW-UP","STANDARD REMINDER")))</f>
        <v/>
      </c>
    </row>
    <row r="6" ht="22" customHeight="1">
      <c r="A6" s="48" t="inlineStr">
        <is>
          <t>Himalayan Logistics</t>
        </is>
      </c>
      <c r="B6" s="18" t="n">
        <v>0.98</v>
      </c>
      <c r="C6" s="18" t="n">
        <v>0.7</v>
      </c>
      <c r="D6" s="18" t="n">
        <v>0.28</v>
      </c>
      <c r="E6" s="17" t="n">
        <v>78</v>
      </c>
      <c r="F6" s="19">
        <f>C6/B6</f>
        <v/>
      </c>
      <c r="G6" s="19">
        <f>D6/B6</f>
        <v/>
      </c>
      <c r="H6" s="49">
        <f>IF(E6&gt;90,"CRITICAL (&gt;90d)",IF(E6&gt;60,"HIGH (61-90d)",IF(E6&gt;30,"MODERATE (31-60d)","LOW (&lt;=30d)"))</f>
        <v/>
      </c>
      <c r="I6" s="19">
        <f>D6/$D$15</f>
        <v/>
      </c>
      <c r="J6" s="37">
        <f>IF(E6&gt;110,"STOP SUPPLY + LEGAL NOTICE",IF(E6&gt;90,"URGENT ESCALATION + FREEZE",IF(E6&gt;60,"INTENSIVE DAILY FOLLOW-UP","STANDARD REMINDER")))</f>
        <v/>
      </c>
    </row>
    <row r="7" ht="22" customHeight="1">
      <c r="A7" s="46" t="inlineStr">
        <is>
          <t>Shree Infrastructure</t>
        </is>
      </c>
      <c r="B7" s="12" t="n">
        <v>0.82</v>
      </c>
      <c r="C7" s="12" t="n">
        <v>0.61</v>
      </c>
      <c r="D7" s="12" t="n">
        <v>0.21</v>
      </c>
      <c r="E7" s="11" t="n">
        <v>42</v>
      </c>
      <c r="F7" s="13">
        <f>C7/B7</f>
        <v/>
      </c>
      <c r="G7" s="13">
        <f>D7/B7</f>
        <v/>
      </c>
      <c r="H7" s="50">
        <f>IF(E7&gt;90,"CRITICAL (&gt;90d)",IF(E7&gt;60,"HIGH (61-90d)",IF(E7&gt;30,"MODERATE (31-60d)","LOW (&lt;=30d)"))</f>
        <v/>
      </c>
      <c r="I7" s="13">
        <f>D7/$D$15</f>
        <v/>
      </c>
      <c r="J7" s="51">
        <f>IF(E7&gt;110,"STOP SUPPLY + LEGAL NOTICE",IF(E7&gt;90,"URGENT ESCALATION + FREEZE",IF(E7&gt;60,"INTENSIVE DAILY FOLLOW-UP","STANDARD REMINDER")))</f>
        <v/>
      </c>
    </row>
    <row r="8" ht="22" customHeight="1">
      <c r="A8" s="48" t="inlineStr">
        <is>
          <t>Everest Transport</t>
        </is>
      </c>
      <c r="B8" s="18" t="n">
        <v>0.76</v>
      </c>
      <c r="C8" s="18" t="n">
        <v>0.5</v>
      </c>
      <c r="D8" s="18" t="n">
        <v>0.26</v>
      </c>
      <c r="E8" s="17" t="n">
        <v>102</v>
      </c>
      <c r="F8" s="19">
        <f>C8/B8</f>
        <v/>
      </c>
      <c r="G8" s="19">
        <f>D8/B8</f>
        <v/>
      </c>
      <c r="H8" s="47">
        <f>IF(E8&gt;90,"CRITICAL (&gt;90d)",IF(E8&gt;60,"HIGH (61-90d)",IF(E8&gt;30,"MODERATE (31-60d)","LOW (&lt;=30d)"))</f>
        <v/>
      </c>
      <c r="I8" s="19">
        <f>D8/$D$15</f>
        <v/>
      </c>
      <c r="J8" s="35">
        <f>IF(E8&gt;110,"STOP SUPPLY + LEGAL NOTICE",IF(E8&gt;90,"URGENT ESCALATION + FREEZE",IF(E8&gt;60,"INTENSIVE DAILY FOLLOW-UP","STANDARD REMINDER")))</f>
        <v/>
      </c>
    </row>
    <row r="9" ht="22" customHeight="1">
      <c r="A9" s="46" t="inlineStr">
        <is>
          <t>National Contractors</t>
        </is>
      </c>
      <c r="B9" s="12" t="n">
        <v>1.45</v>
      </c>
      <c r="C9" s="12" t="n">
        <v>1.2</v>
      </c>
      <c r="D9" s="12" t="n">
        <v>0.25</v>
      </c>
      <c r="E9" s="11" t="n">
        <v>35</v>
      </c>
      <c r="F9" s="13">
        <f>C9/B9</f>
        <v/>
      </c>
      <c r="G9" s="13">
        <f>D9/B9</f>
        <v/>
      </c>
      <c r="H9" s="50">
        <f>IF(E9&gt;90,"CRITICAL (&gt;90d)",IF(E9&gt;60,"HIGH (61-90d)",IF(E9&gt;30,"MODERATE (31-60d)","LOW (&lt;=30d)"))</f>
        <v/>
      </c>
      <c r="I9" s="13">
        <f>D9/$D$15</f>
        <v/>
      </c>
      <c r="J9" s="51">
        <f>IF(E9&gt;110,"STOP SUPPLY + LEGAL NOTICE",IF(E9&gt;90,"URGENT ESCALATION + FREEZE",IF(E9&gt;60,"INTENSIVE DAILY FOLLOW-UP","STANDARD REMINDER")))</f>
        <v/>
      </c>
    </row>
    <row r="10" ht="22" customHeight="1">
      <c r="A10" s="48" t="inlineStr">
        <is>
          <t>Terai Cargo</t>
        </is>
      </c>
      <c r="B10" s="18" t="n">
        <v>0.6899999999999999</v>
      </c>
      <c r="C10" s="18" t="n">
        <v>0.45</v>
      </c>
      <c r="D10" s="18" t="n">
        <v>0.24</v>
      </c>
      <c r="E10" s="17" t="n">
        <v>128</v>
      </c>
      <c r="F10" s="19">
        <f>C10/B10</f>
        <v/>
      </c>
      <c r="G10" s="19">
        <f>D10/B10</f>
        <v/>
      </c>
      <c r="H10" s="47">
        <f>IF(E10&gt;90,"CRITICAL (&gt;90d)",IF(E10&gt;60,"HIGH (61-90d)",IF(E10&gt;30,"MODERATE (31-60d)","LOW (&lt;=30d)"))</f>
        <v/>
      </c>
      <c r="I10" s="19">
        <f>D10/$D$15</f>
        <v/>
      </c>
      <c r="J10" s="35">
        <f>IF(E10&gt;110,"STOP SUPPLY + LEGAL NOTICE",IF(E10&gt;90,"URGENT ESCALATION + FREEZE",IF(E10&gt;60,"INTENSIVE DAILY FOLLOW-UP","STANDARD REMINDER")))</f>
        <v/>
      </c>
    </row>
    <row r="11" ht="22" customHeight="1">
      <c r="A11" s="46" t="inlineStr">
        <is>
          <t>Lumbini Projects</t>
        </is>
      </c>
      <c r="B11" s="12" t="n">
        <v>0.58</v>
      </c>
      <c r="C11" s="12" t="n">
        <v>0.43</v>
      </c>
      <c r="D11" s="12" t="n">
        <v>0.15</v>
      </c>
      <c r="E11" s="11" t="n">
        <v>65</v>
      </c>
      <c r="F11" s="13">
        <f>C11/B11</f>
        <v/>
      </c>
      <c r="G11" s="13">
        <f>D11/B11</f>
        <v/>
      </c>
      <c r="H11" s="49">
        <f>IF(E11&gt;90,"CRITICAL (&gt;90d)",IF(E11&gt;60,"HIGH (61-90d)",IF(E11&gt;30,"MODERATE (31-60d)","LOW (&lt;=30d)"))</f>
        <v/>
      </c>
      <c r="I11" s="13">
        <f>D11/$D$15</f>
        <v/>
      </c>
      <c r="J11" s="37">
        <f>IF(E11&gt;110,"STOP SUPPLY + LEGAL NOTICE",IF(E11&gt;90,"URGENT ESCALATION + FREEZE",IF(E11&gt;60,"INTENSIVE DAILY FOLLOW-UP","STANDARD REMINDER")))</f>
        <v/>
      </c>
    </row>
    <row r="12" ht="22" customHeight="1">
      <c r="A12" s="48" t="inlineStr">
        <is>
          <t>Eastern Haulage</t>
        </is>
      </c>
      <c r="B12" s="18" t="n">
        <v>0.62</v>
      </c>
      <c r="C12" s="18" t="n">
        <v>0.52</v>
      </c>
      <c r="D12" s="18" t="n">
        <v>0.1</v>
      </c>
      <c r="E12" s="17" t="n">
        <v>28</v>
      </c>
      <c r="F12" s="19">
        <f>C12/B12</f>
        <v/>
      </c>
      <c r="G12" s="19">
        <f>D12/B12</f>
        <v/>
      </c>
      <c r="H12" s="50">
        <f>IF(E12&gt;90,"CRITICAL (&gt;90d)",IF(E12&gt;60,"HIGH (61-90d)",IF(E12&gt;30,"MODERATE (31-60d)","LOW (&lt;=30d)"))</f>
        <v/>
      </c>
      <c r="I12" s="19">
        <f>D12/$D$15</f>
        <v/>
      </c>
      <c r="J12" s="51">
        <f>IF(E12&gt;110,"STOP SUPPLY + LEGAL NOTICE",IF(E12&gt;90,"URGENT ESCALATION + FREEZE",IF(E12&gt;60,"INTENSIVE DAILY FOLLOW-UP","STANDARD REMINDER")))</f>
        <v/>
      </c>
    </row>
    <row r="13" ht="22" customHeight="1">
      <c r="A13" s="46" t="inlineStr">
        <is>
          <t>Mid-West Logistics</t>
        </is>
      </c>
      <c r="B13" s="12" t="n">
        <v>0.71</v>
      </c>
      <c r="C13" s="12" t="n">
        <v>0.48</v>
      </c>
      <c r="D13" s="12" t="n">
        <v>0.23</v>
      </c>
      <c r="E13" s="11" t="n">
        <v>94</v>
      </c>
      <c r="F13" s="13">
        <f>C13/B13</f>
        <v/>
      </c>
      <c r="G13" s="13">
        <f>D13/B13</f>
        <v/>
      </c>
      <c r="H13" s="47">
        <f>IF(E13&gt;90,"CRITICAL (&gt;90d)",IF(E13&gt;60,"HIGH (61-90d)",IF(E13&gt;30,"MODERATE (31-60d)","LOW (&lt;=30d)"))</f>
        <v/>
      </c>
      <c r="I13" s="13">
        <f>D13/$D$15</f>
        <v/>
      </c>
      <c r="J13" s="35">
        <f>IF(E13&gt;110,"STOP SUPPLY + LEGAL NOTICE",IF(E13&gt;90,"URGENT ESCALATION + FREEZE",IF(E13&gt;60,"INTENSIVE DAILY FOLLOW-UP","STANDARD REMINDER")))</f>
        <v/>
      </c>
    </row>
    <row r="14" ht="22" customHeight="1">
      <c r="A14" s="48" t="inlineStr">
        <is>
          <t>Valley Developers</t>
        </is>
      </c>
      <c r="B14" s="18" t="n">
        <v>0.91</v>
      </c>
      <c r="C14" s="18" t="n">
        <v>0.76</v>
      </c>
      <c r="D14" s="18" t="n">
        <v>0.15</v>
      </c>
      <c r="E14" s="17" t="n">
        <v>51</v>
      </c>
      <c r="F14" s="19">
        <f>C14/B14</f>
        <v/>
      </c>
      <c r="G14" s="19">
        <f>D14/B14</f>
        <v/>
      </c>
      <c r="H14" s="50">
        <f>IF(E14&gt;90,"CRITICAL (&gt;90d)",IF(E14&gt;60,"HIGH (61-90d)",IF(E14&gt;30,"MODERATE (31-60d)","LOW (&lt;=30d)"))</f>
        <v/>
      </c>
      <c r="I14" s="19">
        <f>D14/$D$15</f>
        <v/>
      </c>
      <c r="J14" s="51">
        <f>IF(E14&gt;110,"STOP SUPPLY + LEGAL NOTICE",IF(E14&gt;90,"URGENT ESCALATION + FREEZE",IF(E14&gt;60,"INTENSIVE DAILY FOLLOW-UP","STANDARD REMINDER")))</f>
        <v/>
      </c>
    </row>
    <row r="15" ht="24" customHeight="1">
      <c r="A15" s="52" t="inlineStr">
        <is>
          <t>Total Customer Portfolio</t>
        </is>
      </c>
      <c r="B15" s="53">
        <f>SUM(B5:B14)</f>
        <v/>
      </c>
      <c r="C15" s="53">
        <f>SUM(C5:C14)</f>
        <v/>
      </c>
      <c r="D15" s="53">
        <f>SUM(D5:D14)</f>
        <v/>
      </c>
      <c r="E15" s="54">
        <f>AVERAGE(E5:E14)</f>
        <v/>
      </c>
      <c r="F15" s="55">
        <f>C15/B15</f>
        <v/>
      </c>
      <c r="G15" s="55">
        <f>D15/B15</f>
        <v/>
      </c>
      <c r="H15" s="22" t="inlineStr">
        <is>
          <t>OVERALL PORTFOLIO</t>
        </is>
      </c>
      <c r="I15" s="55">
        <f>SUM(I5:I14)</f>
        <v/>
      </c>
      <c r="J15" s="22" t="inlineStr">
        <is>
          <t>OVERDUE RISK MANAGEMENT</t>
        </is>
      </c>
    </row>
    <row r="17" ht="24" customHeight="1">
      <c r="A17" s="56" t="inlineStr">
        <is>
          <t>TABLE 2: AGING BUCKET DISTRIBUTION SUMMARY (CRITICAL LIQUIDITY RISK)</t>
        </is>
      </c>
    </row>
    <row r="18" ht="24" customHeight="1">
      <c r="A18" s="29" t="inlineStr">
        <is>
          <t>Aging Bucket</t>
        </is>
      </c>
      <c r="B18" s="29" t="inlineStr">
        <is>
          <t>Outstanding Amount (NPR Cr.)</t>
        </is>
      </c>
      <c r="C18" s="29" t="inlineStr">
        <is>
          <t>% of Total Receivables</t>
        </is>
      </c>
      <c r="D18" s="29" t="inlineStr">
        <is>
          <t>Customer Count</t>
        </is>
      </c>
      <c r="E18" s="29" t="inlineStr">
        <is>
          <t>Default Risk Profile</t>
        </is>
      </c>
      <c r="F18" s="29" t="inlineStr">
        <is>
          <t>Recommended Strategy</t>
        </is>
      </c>
    </row>
    <row r="19" ht="22" customHeight="1">
      <c r="A19" s="57" t="inlineStr">
        <is>
          <t>0 - 30 Days (Current)</t>
        </is>
      </c>
      <c r="B19" s="34">
        <f>SUMIFS(D$5:D$14, E$5:E$14, "&lt;=30")</f>
        <v/>
      </c>
      <c r="C19" s="32">
        <f>B19/$D$15</f>
        <v/>
      </c>
      <c r="D19" s="31">
        <f>COUNTIF(E$5:E$14, "&lt;=30")</f>
        <v/>
      </c>
      <c r="E19" s="50" t="inlineStr">
        <is>
          <t>Minimal Risk</t>
        </is>
      </c>
      <c r="F19" s="30" t="inlineStr">
        <is>
          <t>Routine billing reminder</t>
        </is>
      </c>
    </row>
    <row r="20" ht="22" customHeight="1">
      <c r="A20" s="57" t="inlineStr">
        <is>
          <t>31 - 60 Days (Watchlist)</t>
        </is>
      </c>
      <c r="B20" s="34">
        <f>SUMIFS(D$5:D$14, E$5:E$14, "&gt;30", E$5:E$14, "&lt;=60")</f>
        <v/>
      </c>
      <c r="C20" s="32">
        <f>B20/$D$15</f>
        <v/>
      </c>
      <c r="D20" s="31">
        <f>COUNTIFS(E$5:E$14, "&gt;30", E$5:E$14, "&lt;=60")</f>
        <v/>
      </c>
      <c r="E20" s="10" t="inlineStr">
        <is>
          <t>Moderate Risk</t>
        </is>
      </c>
      <c r="F20" s="30" t="inlineStr">
        <is>
          <t>Follow-up calls &amp; statement reconciliation</t>
        </is>
      </c>
    </row>
    <row r="21" ht="22" customHeight="1">
      <c r="A21" s="57" t="inlineStr">
        <is>
          <t>61 - 90 Days (Delinquent)</t>
        </is>
      </c>
      <c r="B21" s="34">
        <f>SUMIFS(D$5:D$14, E$5:E$14, "&gt;60", E$5:E$14, "&lt;=90")</f>
        <v/>
      </c>
      <c r="C21" s="32">
        <f>B21/$D$15</f>
        <v/>
      </c>
      <c r="D21" s="31">
        <f>COUNTIFS(E$5:E$14, "&gt;60", E$5:E$14, "&lt;=90")</f>
        <v/>
      </c>
      <c r="E21" s="49" t="inlineStr">
        <is>
          <t>High Risk</t>
        </is>
      </c>
      <c r="F21" s="30" t="inlineStr">
        <is>
          <t>Senior management visit &amp; partial payment demand</t>
        </is>
      </c>
    </row>
    <row r="22" ht="22" customHeight="1">
      <c r="A22" s="57" t="inlineStr">
        <is>
          <t>&gt; 90 Days (Severe Delinquency)</t>
        </is>
      </c>
      <c r="B22" s="34">
        <f>SUMIFS(D$5:D$14, E$5:E$14, "&gt;90")</f>
        <v/>
      </c>
      <c r="C22" s="32">
        <f>B22/$D$15</f>
        <v/>
      </c>
      <c r="D22" s="31">
        <f>COUNTIF(E$5:E$14, "&gt;90")</f>
        <v/>
      </c>
      <c r="E22" s="47" t="inlineStr">
        <is>
          <t>CRITICAL / POTENTIAL BAD DEBT</t>
        </is>
      </c>
      <c r="F22" s="30" t="inlineStr">
        <is>
          <t>STOP DELIVERY, legal notice, security cheque deposit</t>
        </is>
      </c>
    </row>
    <row r="23" ht="24" customHeight="1">
      <c r="A23" s="52" t="inlineStr">
        <is>
          <t>Total Portfolio Ageing</t>
        </is>
      </c>
      <c r="B23" s="53">
        <f>SUM(B19:B22)</f>
        <v/>
      </c>
      <c r="C23" s="55">
        <f>SUM(C19:C22)</f>
        <v/>
      </c>
      <c r="D23" s="58">
        <f>SUM(D19:D22)</f>
        <v/>
      </c>
      <c r="E23" s="22" t="inlineStr">
        <is>
          <t>100% RECONCILED</t>
        </is>
      </c>
      <c r="F23" s="52" t="inlineStr">
        <is>
          <t>ACTION ROADMAP ACTIVE</t>
        </is>
      </c>
    </row>
  </sheetData>
  <mergeCells count="3">
    <mergeCell ref="A1:J1"/>
    <mergeCell ref="A17:F17"/>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38" customWidth="1" min="1" max="1"/>
    <col width="16" customWidth="1" min="2" max="2"/>
    <col width="16" customWidth="1" min="3" max="3"/>
    <col width="16" customWidth="1" min="4" max="4"/>
    <col width="16" customWidth="1" min="5" max="5"/>
    <col width="16" customWidth="1" min="6" max="6"/>
    <col width="16" customWidth="1" min="7" max="7"/>
    <col width="16" customWidth="1" min="8" max="8"/>
    <col width="12" customWidth="1" min="10" max="10"/>
    <col width="18" customWidth="1" min="11" max="11"/>
    <col width="18" customWidth="1" min="12" max="12"/>
  </cols>
  <sheetData>
    <row r="1" ht="35" customHeight="1">
      <c r="A1" s="1" t="inlineStr">
        <is>
          <t>MONTHLY CASH FLOW PROJECTION &amp; MANAGEMENT DECISION SCENARIOS (6-MONTH HORIZON)</t>
        </is>
      </c>
    </row>
    <row r="2" ht="20" customHeight="1">
      <c r="A2" s="2" t="inlineStr">
        <is>
          <t>Dynamic Cash Inflow vs Outflow: Option A (Aggressive) vs Option B (Freeze) vs Option C (Disciplined Expansion)</t>
        </is>
      </c>
    </row>
    <row r="4" ht="22" customHeight="1">
      <c r="A4" s="56" t="inlineStr">
        <is>
          <t>MODEL PARAMETERS &amp; BASELINE ASSUMPTIONS (NPR CRORES)</t>
        </is>
      </c>
    </row>
    <row r="5" ht="22" customHeight="1">
      <c r="A5" s="59" t="inlineStr">
        <is>
          <t>Starting Cash Balance: NPR 1.50 Cr</t>
        </is>
      </c>
      <c r="B5" s="60" t="n"/>
      <c r="C5" s="60" t="n"/>
      <c r="D5" s="59" t="inlineStr">
        <is>
          <t>Total Trapped Receivables: NPR 10.80 Cr</t>
        </is>
      </c>
      <c r="E5" s="60" t="n"/>
      <c r="F5" s="60" t="n"/>
      <c r="G5" s="59" t="inlineStr">
        <is>
          <t>Avg Landed Cost / Vehicle: NPR 38.0 Lakh (0.38 Cr)</t>
        </is>
      </c>
      <c r="H5" s="60" t="n"/>
      <c r="I5" s="60" t="n"/>
      <c r="J5" s="60" t="n"/>
      <c r="K5" s="60" t="n"/>
    </row>
    <row r="7" ht="24" customHeight="1">
      <c r="A7" s="61" t="inlineStr">
        <is>
          <t>SCENARIO A: UNCHECKED AGGRESSIVE IMPORTS (Current Course - High Risk of Involuntary Liquidation)</t>
        </is>
      </c>
      <c r="J7" t="inlineStr">
        <is>
          <t>Month</t>
        </is>
      </c>
      <c r="K7" t="inlineStr">
        <is>
          <t>Scenario A (Unchecked)</t>
        </is>
      </c>
      <c r="L7" t="inlineStr">
        <is>
          <t>Scenario C (Disciplined)</t>
        </is>
      </c>
    </row>
    <row r="8" ht="24" customHeight="1">
      <c r="A8" s="62" t="inlineStr">
        <is>
          <t>Cash Flow Line Item</t>
        </is>
      </c>
      <c r="B8" s="29" t="inlineStr">
        <is>
          <t>Month 1 (Oct)</t>
        </is>
      </c>
      <c r="C8" s="29" t="inlineStr">
        <is>
          <t>Month 2 (Nov)</t>
        </is>
      </c>
      <c r="D8" s="29" t="inlineStr">
        <is>
          <t>Month 3 (Dec)</t>
        </is>
      </c>
      <c r="E8" s="29" t="inlineStr">
        <is>
          <t>Month 4 (Jan)</t>
        </is>
      </c>
      <c r="F8" s="29" t="inlineStr">
        <is>
          <t>Month 5 (Feb)</t>
        </is>
      </c>
      <c r="G8" s="29" t="inlineStr">
        <is>
          <t>Month 6 (Mar)</t>
        </is>
      </c>
      <c r="H8" s="29" t="inlineStr">
        <is>
          <t>Total / Exit</t>
        </is>
      </c>
      <c r="J8" t="inlineStr">
        <is>
          <t>Oct</t>
        </is>
      </c>
      <c r="K8">
        <f>B18</f>
        <v/>
      </c>
      <c r="L8">
        <f>B32</f>
        <v/>
      </c>
    </row>
    <row r="9" ht="20" customHeight="1">
      <c r="A9" s="30" t="inlineStr">
        <is>
          <t>Import Vehicle Volume (Units)</t>
        </is>
      </c>
      <c r="B9" s="63" t="n">
        <v>28</v>
      </c>
      <c r="C9" s="63" t="n">
        <v>30</v>
      </c>
      <c r="D9" s="63" t="n">
        <v>32</v>
      </c>
      <c r="E9" s="63" t="n">
        <v>35</v>
      </c>
      <c r="F9" s="63" t="n">
        <v>38</v>
      </c>
      <c r="G9" s="63" t="n">
        <v>40</v>
      </c>
      <c r="H9" s="63">
        <f>SUM(B9:G9)</f>
        <v/>
      </c>
      <c r="J9" t="inlineStr">
        <is>
          <t>Nov</t>
        </is>
      </c>
      <c r="K9">
        <f>C18</f>
        <v/>
      </c>
      <c r="L9">
        <f>C32</f>
        <v/>
      </c>
    </row>
    <row r="10" ht="20" customHeight="1">
      <c r="A10" s="30" t="inlineStr">
        <is>
          <t xml:space="preserve">  (+) Collections from New Sales (Cr)</t>
        </is>
      </c>
      <c r="B10" s="64" t="n">
        <v>6.5</v>
      </c>
      <c r="C10" s="64" t="n">
        <v>7</v>
      </c>
      <c r="D10" s="64" t="n">
        <v>7.5</v>
      </c>
      <c r="E10" s="64" t="n">
        <v>8.199999999999999</v>
      </c>
      <c r="F10" s="64" t="n">
        <v>8.800000000000001</v>
      </c>
      <c r="G10" s="64" t="n">
        <v>9.199999999999999</v>
      </c>
      <c r="H10" s="64">
        <f>SUM(B10:G10)</f>
        <v/>
      </c>
      <c r="J10" t="inlineStr">
        <is>
          <t>Dec</t>
        </is>
      </c>
      <c r="K10">
        <f>D18</f>
        <v/>
      </c>
      <c r="L10">
        <f>D32</f>
        <v/>
      </c>
    </row>
    <row r="11" ht="20" customHeight="1">
      <c r="A11" s="30" t="inlineStr">
        <is>
          <t xml:space="preserve">  (+) Recovery from Old Debtors (Cr)</t>
        </is>
      </c>
      <c r="B11" s="64" t="n">
        <v>0.4</v>
      </c>
      <c r="C11" s="64" t="n">
        <v>0.4</v>
      </c>
      <c r="D11" s="64" t="n">
        <v>0.35</v>
      </c>
      <c r="E11" s="64" t="n">
        <v>0.3</v>
      </c>
      <c r="F11" s="64" t="n">
        <v>0.25</v>
      </c>
      <c r="G11" s="64" t="n">
        <v>0.2</v>
      </c>
      <c r="H11" s="64">
        <f>SUM(B11:G11)</f>
        <v/>
      </c>
      <c r="J11" t="inlineStr">
        <is>
          <t>Jan</t>
        </is>
      </c>
      <c r="K11">
        <f>E18</f>
        <v/>
      </c>
      <c r="L11">
        <f>E32</f>
        <v/>
      </c>
    </row>
    <row r="12" ht="21" customHeight="1">
      <c r="A12" s="59" t="inlineStr">
        <is>
          <t>TOTAL CASH INFLOWS (Cr)</t>
        </is>
      </c>
      <c r="B12" s="65">
        <f>SUM(B10:B11)</f>
        <v/>
      </c>
      <c r="C12" s="65">
        <f>SUM(C10:C11)</f>
        <v/>
      </c>
      <c r="D12" s="65">
        <f>SUM(D10:D11)</f>
        <v/>
      </c>
      <c r="E12" s="65">
        <f>SUM(E10:E11)</f>
        <v/>
      </c>
      <c r="F12" s="65">
        <f>SUM(F10:F11)</f>
        <v/>
      </c>
      <c r="G12" s="65">
        <f>SUM(G10:G11)</f>
        <v/>
      </c>
      <c r="H12" s="65">
        <f>SUM(B12:G12)</f>
        <v/>
      </c>
      <c r="J12" t="inlineStr">
        <is>
          <t>Feb</t>
        </is>
      </c>
      <c r="K12">
        <f>F18</f>
        <v/>
      </c>
      <c r="L12">
        <f>F32</f>
        <v/>
      </c>
    </row>
    <row r="13" ht="20" customHeight="1">
      <c r="A13" s="30" t="inlineStr">
        <is>
          <t xml:space="preserve">  (-) Vehicle Import Costs (LC/Customs)</t>
        </is>
      </c>
      <c r="B13" s="64">
        <f>B9*0.38</f>
        <v/>
      </c>
      <c r="C13" s="64">
        <f>C9*0.38</f>
        <v/>
      </c>
      <c r="D13" s="64">
        <f>D9*0.38</f>
        <v/>
      </c>
      <c r="E13" s="64">
        <f>E9*0.38</f>
        <v/>
      </c>
      <c r="F13" s="64">
        <f>F9*0.38</f>
        <v/>
      </c>
      <c r="G13" s="64">
        <f>G9*0.38</f>
        <v/>
      </c>
      <c r="H13" s="64">
        <f>SUM(B13:G13)</f>
        <v/>
      </c>
      <c r="J13" t="inlineStr">
        <is>
          <t>Mar</t>
        </is>
      </c>
      <c r="K13">
        <f>G18</f>
        <v/>
      </c>
      <c r="L13">
        <f>G32</f>
        <v/>
      </c>
    </row>
    <row r="14" ht="20" customHeight="1">
      <c r="A14" s="30" t="inlineStr">
        <is>
          <t xml:space="preserve">  (-) Marketing Expenditure</t>
        </is>
      </c>
      <c r="B14" s="64" t="n">
        <v>0.08</v>
      </c>
      <c r="C14" s="64" t="n">
        <v>0.09</v>
      </c>
      <c r="D14" s="64" t="n">
        <v>0.1</v>
      </c>
      <c r="E14" s="64" t="n">
        <v>0.11</v>
      </c>
      <c r="F14" s="64" t="n">
        <v>0.12</v>
      </c>
      <c r="G14" s="64" t="n">
        <v>0.13</v>
      </c>
      <c r="H14" s="64">
        <f>SUM(B14:G14)</f>
        <v/>
      </c>
    </row>
    <row r="15" ht="20" customHeight="1">
      <c r="A15" s="30" t="inlineStr">
        <is>
          <t xml:space="preserve">  (-) Operating Overheads &amp; LC Interest</t>
        </is>
      </c>
      <c r="B15" s="64" t="n">
        <v>0.45</v>
      </c>
      <c r="C15" s="64" t="n">
        <v>0.48</v>
      </c>
      <c r="D15" s="64" t="n">
        <v>0.52</v>
      </c>
      <c r="E15" s="64" t="n">
        <v>0.55</v>
      </c>
      <c r="F15" s="64" t="n">
        <v>0.6</v>
      </c>
      <c r="G15" s="64" t="n">
        <v>0.65</v>
      </c>
      <c r="H15" s="64">
        <f>SUM(B15:G15)</f>
        <v/>
      </c>
    </row>
    <row r="16" ht="21" customHeight="1">
      <c r="A16" s="59" t="inlineStr">
        <is>
          <t>TOTAL CASH OUTFLOWS (Cr)</t>
        </is>
      </c>
      <c r="B16" s="65">
        <f>SUM(B13:B15)</f>
        <v/>
      </c>
      <c r="C16" s="65">
        <f>SUM(C13:C15)</f>
        <v/>
      </c>
      <c r="D16" s="65">
        <f>SUM(D13:D15)</f>
        <v/>
      </c>
      <c r="E16" s="65">
        <f>SUM(E13:E15)</f>
        <v/>
      </c>
      <c r="F16" s="65">
        <f>SUM(F13:F15)</f>
        <v/>
      </c>
      <c r="G16" s="65">
        <f>SUM(G13:G15)</f>
        <v/>
      </c>
      <c r="H16" s="65">
        <f>SUM(B16:G16)</f>
        <v/>
      </c>
    </row>
    <row r="17" ht="21" customHeight="1">
      <c r="A17" s="66" t="inlineStr">
        <is>
          <t>NET MONTHLY CASH FLOW (Cr)</t>
        </is>
      </c>
      <c r="B17" s="67">
        <f>B12-B16</f>
        <v/>
      </c>
      <c r="C17" s="67">
        <f>C12-C16</f>
        <v/>
      </c>
      <c r="D17" s="67">
        <f>D12-D16</f>
        <v/>
      </c>
      <c r="E17" s="67">
        <f>E12-E16</f>
        <v/>
      </c>
      <c r="F17" s="67">
        <f>F12-F16</f>
        <v/>
      </c>
      <c r="G17" s="67">
        <f>G12-G16</f>
        <v/>
      </c>
      <c r="H17" s="67">
        <f>H12-H16</f>
        <v/>
      </c>
    </row>
    <row r="18" ht="24" customHeight="1">
      <c r="A18" s="68" t="inlineStr">
        <is>
          <t>CUMULATIVE CASH POSITION (Cr)</t>
        </is>
      </c>
      <c r="B18" s="69">
        <f>1.50+B17</f>
        <v/>
      </c>
      <c r="C18" s="69">
        <f>B18+C17</f>
        <v/>
      </c>
      <c r="D18" s="69">
        <f>C18+D17</f>
        <v/>
      </c>
      <c r="E18" s="69">
        <f>D18+E17</f>
        <v/>
      </c>
      <c r="F18" s="69">
        <f>E18+F17</f>
        <v/>
      </c>
      <c r="G18" s="69">
        <f>F18+G17</f>
        <v/>
      </c>
      <c r="H18" s="69">
        <f>G18</f>
        <v/>
      </c>
    </row>
    <row r="21" ht="24" customHeight="1">
      <c r="A21" s="70" t="inlineStr">
        <is>
          <t>SCENARIO C (RECOMMENDED): DISCIPLINED EXPANSION TIED TO STRICT DEBT RECOVERY &amp; CASH CONTROLS</t>
        </is>
      </c>
    </row>
    <row r="22" ht="24" customHeight="1">
      <c r="A22" s="62" t="inlineStr">
        <is>
          <t>Cash Flow Line Item</t>
        </is>
      </c>
      <c r="B22" s="29" t="inlineStr">
        <is>
          <t>Month 1 (Oct)</t>
        </is>
      </c>
      <c r="C22" s="29" t="inlineStr">
        <is>
          <t>Month 2 (Nov)</t>
        </is>
      </c>
      <c r="D22" s="29" t="inlineStr">
        <is>
          <t>Month 3 (Dec)</t>
        </is>
      </c>
      <c r="E22" s="29" t="inlineStr">
        <is>
          <t>Month 4 (Jan)</t>
        </is>
      </c>
      <c r="F22" s="29" t="inlineStr">
        <is>
          <t>Month 5 (Feb)</t>
        </is>
      </c>
      <c r="G22" s="29" t="inlineStr">
        <is>
          <t>Month 6 (Mar)</t>
        </is>
      </c>
      <c r="H22" s="29" t="inlineStr">
        <is>
          <t>Total / Exit</t>
        </is>
      </c>
    </row>
    <row r="23" ht="20" customHeight="1">
      <c r="A23" s="30" t="inlineStr">
        <is>
          <t>Target Import Volume (Units)</t>
        </is>
      </c>
      <c r="B23" s="63" t="n">
        <v>15</v>
      </c>
      <c r="C23" s="63" t="n">
        <v>16</v>
      </c>
      <c r="D23" s="63" t="n">
        <v>18</v>
      </c>
      <c r="E23" s="63" t="n">
        <v>20</v>
      </c>
      <c r="F23" s="63" t="n">
        <v>22</v>
      </c>
      <c r="G23" s="63" t="n">
        <v>25</v>
      </c>
      <c r="H23" s="63">
        <f>SUM(B23:G23)</f>
        <v/>
      </c>
    </row>
    <row r="24" ht="20" customHeight="1">
      <c r="A24" s="30" t="inlineStr">
        <is>
          <t xml:space="preserve">  (+) Collections from Sales (Cash + Bank DO)</t>
        </is>
      </c>
      <c r="B24" s="64" t="n">
        <v>5.4</v>
      </c>
      <c r="C24" s="64" t="n">
        <v>5.8</v>
      </c>
      <c r="D24" s="64" t="n">
        <v>6.5</v>
      </c>
      <c r="E24" s="64" t="n">
        <v>7.2</v>
      </c>
      <c r="F24" s="64" t="n">
        <v>7.9</v>
      </c>
      <c r="G24" s="64" t="n">
        <v>8.800000000000001</v>
      </c>
      <c r="H24" s="64">
        <f>SUM(B24:G24)</f>
        <v/>
      </c>
    </row>
    <row r="25" ht="20" customHeight="1">
      <c r="A25" s="30" t="inlineStr">
        <is>
          <t xml:space="preserve">  (+) Targeted Recovery from Overdue Debtors</t>
        </is>
      </c>
      <c r="B25" s="64" t="n">
        <v>1.2</v>
      </c>
      <c r="C25" s="64" t="n">
        <v>1.1</v>
      </c>
      <c r="D25" s="64" t="n">
        <v>0.9</v>
      </c>
      <c r="E25" s="64" t="n">
        <v>0.7</v>
      </c>
      <c r="F25" s="64" t="n">
        <v>0.5</v>
      </c>
      <c r="G25" s="64" t="n">
        <v>0.4</v>
      </c>
      <c r="H25" s="64">
        <f>SUM(B25:G25)</f>
        <v/>
      </c>
    </row>
    <row r="26" ht="21" customHeight="1">
      <c r="A26" s="59" t="inlineStr">
        <is>
          <t>TOTAL CASH INFLOWS (Cr)</t>
        </is>
      </c>
      <c r="B26" s="65">
        <f>SUM(B24:B25)</f>
        <v/>
      </c>
      <c r="C26" s="65">
        <f>SUM(C24:C25)</f>
        <v/>
      </c>
      <c r="D26" s="65">
        <f>SUM(D24:D25)</f>
        <v/>
      </c>
      <c r="E26" s="65">
        <f>SUM(E24:E25)</f>
        <v/>
      </c>
      <c r="F26" s="65">
        <f>SUM(F24:F25)</f>
        <v/>
      </c>
      <c r="G26" s="65">
        <f>SUM(G24:G25)</f>
        <v/>
      </c>
      <c r="H26" s="65">
        <f>SUM(B26:G26)</f>
        <v/>
      </c>
    </row>
    <row r="27" ht="20" customHeight="1">
      <c r="A27" s="30" t="inlineStr">
        <is>
          <t xml:space="preserve">  (-) Vehicle Import Costs (Selective Models)</t>
        </is>
      </c>
      <c r="B27" s="64">
        <f>B23*0.38</f>
        <v/>
      </c>
      <c r="C27" s="64">
        <f>C23*0.38</f>
        <v/>
      </c>
      <c r="D27" s="64">
        <f>D23*0.38</f>
        <v/>
      </c>
      <c r="E27" s="64">
        <f>E23*0.38</f>
        <v/>
      </c>
      <c r="F27" s="64">
        <f>F23*0.38</f>
        <v/>
      </c>
      <c r="G27" s="64">
        <f>G23*0.38</f>
        <v/>
      </c>
      <c r="H27" s="64">
        <f>SUM(B27:G27)</f>
        <v/>
      </c>
    </row>
    <row r="28" ht="20" customHeight="1">
      <c r="A28" s="30" t="inlineStr">
        <is>
          <t xml:space="preserve">  (-) Focused High-ROI Marketing</t>
        </is>
      </c>
      <c r="B28" s="64" t="n">
        <v>0.045</v>
      </c>
      <c r="C28" s="64" t="n">
        <v>0.045</v>
      </c>
      <c r="D28" s="64" t="n">
        <v>0.05</v>
      </c>
      <c r="E28" s="64" t="n">
        <v>0.055</v>
      </c>
      <c r="F28" s="64" t="n">
        <v>0.055</v>
      </c>
      <c r="G28" s="64" t="n">
        <v>0.06</v>
      </c>
      <c r="H28" s="64">
        <f>SUM(B28:G28)</f>
        <v/>
      </c>
    </row>
    <row r="29" ht="20" customHeight="1">
      <c r="A29" s="30" t="inlineStr">
        <is>
          <t xml:space="preserve">  (-) Operating Overheads &amp; LC Charges</t>
        </is>
      </c>
      <c r="B29" s="64" t="n">
        <v>0.35</v>
      </c>
      <c r="C29" s="64" t="n">
        <v>0.35</v>
      </c>
      <c r="D29" s="64" t="n">
        <v>0.38</v>
      </c>
      <c r="E29" s="64" t="n">
        <v>0.4</v>
      </c>
      <c r="F29" s="64" t="n">
        <v>0.42</v>
      </c>
      <c r="G29" s="64" t="n">
        <v>0.45</v>
      </c>
      <c r="H29" s="64">
        <f>SUM(B29:G29)</f>
        <v/>
      </c>
    </row>
    <row r="30" ht="21" customHeight="1">
      <c r="A30" s="59" t="inlineStr">
        <is>
          <t>TOTAL CASH OUTFLOWS (Cr)</t>
        </is>
      </c>
      <c r="B30" s="65">
        <f>SUM(B27:B29)</f>
        <v/>
      </c>
      <c r="C30" s="65">
        <f>SUM(C27:C29)</f>
        <v/>
      </c>
      <c r="D30" s="65">
        <f>SUM(D27:D29)</f>
        <v/>
      </c>
      <c r="E30" s="65">
        <f>SUM(E27:E29)</f>
        <v/>
      </c>
      <c r="F30" s="65">
        <f>SUM(F27:F29)</f>
        <v/>
      </c>
      <c r="G30" s="65">
        <f>SUM(G27:G29)</f>
        <v/>
      </c>
      <c r="H30" s="65">
        <f>SUM(B30:G30)</f>
        <v/>
      </c>
    </row>
    <row r="31" ht="21" customHeight="1">
      <c r="A31" s="71" t="inlineStr">
        <is>
          <t>NET MONTHLY CASH FLOW (Cr)</t>
        </is>
      </c>
      <c r="B31" s="72">
        <f>B26-B30</f>
        <v/>
      </c>
      <c r="C31" s="72">
        <f>C26-C30</f>
        <v/>
      </c>
      <c r="D31" s="72">
        <f>D26-D30</f>
        <v/>
      </c>
      <c r="E31" s="72">
        <f>E26-E30</f>
        <v/>
      </c>
      <c r="F31" s="72">
        <f>F26-F30</f>
        <v/>
      </c>
      <c r="G31" s="72">
        <f>G26-G30</f>
        <v/>
      </c>
      <c r="H31" s="72">
        <f>H26-H30</f>
        <v/>
      </c>
    </row>
    <row r="32" ht="24" customHeight="1">
      <c r="A32" s="73" t="inlineStr">
        <is>
          <t>CUMULATIVE CASH POSITION (Cr)</t>
        </is>
      </c>
      <c r="B32" s="74">
        <f>1.50+B31</f>
        <v/>
      </c>
      <c r="C32" s="74">
        <f>B32+C31</f>
        <v/>
      </c>
      <c r="D32" s="74">
        <f>C32+D31</f>
        <v/>
      </c>
      <c r="E32" s="74">
        <f>D32+E31</f>
        <v/>
      </c>
      <c r="F32" s="74">
        <f>E32+F31</f>
        <v/>
      </c>
      <c r="G32" s="74">
        <f>F32+G31</f>
        <v/>
      </c>
      <c r="H32" s="74">
        <f>G32</f>
        <v/>
      </c>
    </row>
    <row r="35">
      <c r="A35" s="45" t="inlineStr">
        <is>
          <t>DECISION MODEL CONCLUSION &amp; CASH FLOW COMPARISON:
1. Scenario A (Blind Aggressive Option A): Monthly outflows massively exceed inflows by NPR 3.5 to 5.5 Cr per month. Cumulative cash plunges from +1.50 Cr to -18.7 Cr within 6 months. Result: Bank LC defaults, supplier suspension, and severe liquidity insolvency.
2. Scenario B (Pure Import Freeze): Avoids default but causes market irrelevance, dealer loss, and fixed overheads continue to bleed cash.
3. Scenario C (Disciplined Expansion - The Recommended Strategy): By capping imports to 15-25 units, prioritizing high-margin Machinery and Pickups, requiring 35% cash down-payments, and aggressively recovering NPR 4.8 Cr from delinquent debtors, the company generates POSITIVE net cash flows every month, growing cash reserves from NPR 1.50 Cr to over NPR 4.0 Cr while maintaining healthy market share.</t>
        </is>
      </c>
      <c r="B35" s="8" t="n"/>
      <c r="C35" s="8" t="n"/>
      <c r="D35" s="8" t="n"/>
      <c r="E35" s="8" t="n"/>
      <c r="F35" s="8" t="n"/>
      <c r="G35" s="8" t="n"/>
      <c r="H35" s="8" t="n"/>
    </row>
    <row r="36">
      <c r="A36" s="8" t="n"/>
      <c r="B36" s="8" t="n"/>
      <c r="C36" s="8" t="n"/>
      <c r="D36" s="8" t="n"/>
      <c r="E36" s="8" t="n"/>
      <c r="F36" s="8" t="n"/>
      <c r="G36" s="8" t="n"/>
      <c r="H36" s="8" t="n"/>
    </row>
    <row r="37">
      <c r="A37" s="8" t="n"/>
      <c r="B37" s="8" t="n"/>
      <c r="C37" s="8" t="n"/>
      <c r="D37" s="8" t="n"/>
      <c r="E37" s="8" t="n"/>
      <c r="F37" s="8" t="n"/>
      <c r="G37" s="8" t="n"/>
      <c r="H37" s="8" t="n"/>
    </row>
    <row r="38">
      <c r="A38" s="8" t="n"/>
      <c r="B38" s="8" t="n"/>
      <c r="C38" s="8" t="n"/>
      <c r="D38" s="8" t="n"/>
      <c r="E38" s="8" t="n"/>
      <c r="F38" s="8" t="n"/>
      <c r="G38" s="8" t="n"/>
      <c r="H38" s="8" t="n"/>
    </row>
    <row r="39">
      <c r="A39" s="8" t="n"/>
      <c r="B39" s="8" t="n"/>
      <c r="C39" s="8" t="n"/>
      <c r="D39" s="8" t="n"/>
      <c r="E39" s="8" t="n"/>
      <c r="F39" s="8" t="n"/>
      <c r="G39" s="8" t="n"/>
      <c r="H39" s="8" t="n"/>
    </row>
    <row r="40">
      <c r="A40" s="8" t="n"/>
      <c r="B40" s="8" t="n"/>
      <c r="C40" s="8" t="n"/>
      <c r="D40" s="8" t="n"/>
      <c r="E40" s="8" t="n"/>
      <c r="F40" s="8" t="n"/>
      <c r="G40" s="8" t="n"/>
      <c r="H40" s="8" t="n"/>
    </row>
  </sheetData>
  <mergeCells count="9">
    <mergeCell ref="A21:H21"/>
    <mergeCell ref="A4:K4"/>
    <mergeCell ref="A35:H40"/>
    <mergeCell ref="D5:F5"/>
    <mergeCell ref="A5:C5"/>
    <mergeCell ref="A7:H7"/>
    <mergeCell ref="A2:K2"/>
    <mergeCell ref="G5:K5"/>
    <mergeCell ref="A1:K1"/>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2026-10-07T15:45:15Z</dcterms:created>
  <dcterms:modified xsi:type="dcterms:W3CDTF">2026-10-07T15:45:15Z</dcterms:modified>
</cp:coreProperties>
</file>